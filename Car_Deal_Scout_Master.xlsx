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&quot;$&quot;#,##0;[Red]-&quot;$&quot;#,##0"/>
  </numFmts>
  <fonts count="7">
    <font>
      <name val="Calibri"/>
      <family val="2"/>
      <color theme="1"/>
      <sz val="11"/>
      <scheme val="minor"/>
    </font>
    <font>
      <b val="1"/>
      <sz val="15"/>
    </font>
    <font>
      <i val="1"/>
      <color rgb="00666666"/>
    </font>
    <font>
      <b val="1"/>
    </font>
    <font>
      <b val="1"/>
      <sz val="12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B4D"/>
      </patternFill>
    </fill>
    <fill>
      <patternFill patternType="solid">
        <fgColor rgb="00D6EAD6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9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44" customWidth="1" min="10" max="10"/>
    <col width="10" customWidth="1" min="11" max="11"/>
    <col width="11" customWidth="1" min="12" max="12"/>
    <col width="12" customWidth="1" min="13" max="13"/>
    <col width="9" customWidth="1" min="14" max="14"/>
    <col width="9" customWidth="1" min="15" max="15"/>
    <col width="60" customWidth="1" min="16" max="16"/>
  </cols>
  <sheetData>
    <row r="1">
      <c r="A1" s="1" t="inlineStr">
        <is>
          <t>CAR DEAL SCOUT - MASTER SHEET</t>
        </is>
      </c>
    </row>
    <row r="2">
      <c r="A2" t="inlineStr">
        <is>
          <t>Generated 2026-09-03 - Ontario, from postcode M3A 1B2 - live site: https://kheraashish.github.io/car-deal-scout/</t>
        </is>
      </c>
    </row>
    <row r="3">
      <c r="A3" t="inlineStr">
        <is>
          <t>Out-the-door = (advertised + dealer admin + OMVIC $10 + tire levy $30) x 1.13 HST + $150 plates. Dealer admin is $2,334 where Lexus on the Park quoted it, $495 assumed elsewhere.</t>
        </is>
      </c>
    </row>
    <row r="5">
      <c r="A5" s="2" t="inlineStr">
        <is>
          <t>DOWN PAYMENT</t>
        </is>
      </c>
      <c r="B5" s="3" t="n">
        <v>15000</v>
      </c>
      <c r="C5" s="4" t="inlineStr">
        <is>
          <t>&lt;- change these; the Monthly column recalculates</t>
        </is>
      </c>
    </row>
    <row r="6">
      <c r="A6" s="2" t="inlineStr">
        <is>
          <t>TERM (months)</t>
        </is>
      </c>
      <c r="B6" s="5" t="n">
        <v>60</v>
      </c>
    </row>
    <row r="8">
      <c r="A8" s="6" t="inlineStr">
        <is>
          <t>TABLE 1 - MODELS SCOUTED  (rate source tells you whether the rate was quoted to you or assumed)</t>
        </is>
      </c>
    </row>
    <row r="9">
      <c r="A9" s="7" t="inlineStr">
        <is>
          <t>Make</t>
        </is>
      </c>
      <c r="B9" s="7" t="inlineStr">
        <is>
          <t>Model</t>
        </is>
      </c>
      <c r="C9" s="7" t="inlineStr">
        <is>
          <t>Trim</t>
        </is>
      </c>
      <c r="D9" s="7" t="inlineStr">
        <is>
          <t>MSRP</t>
        </is>
      </c>
      <c r="E9" s="7" t="inlineStr">
        <is>
          <t>Freight+PDI+AC</t>
        </is>
      </c>
      <c r="F9" s="7" t="inlineStr">
        <is>
          <t>Advertised</t>
        </is>
      </c>
      <c r="G9" s="7" t="inlineStr">
        <is>
          <t>Dealer admin</t>
        </is>
      </c>
      <c r="H9" s="7" t="inlineStr">
        <is>
          <t>OUT THE DOOR</t>
        </is>
      </c>
      <c r="I9" s="7" t="inlineStr">
        <is>
          <t>Rate %</t>
        </is>
      </c>
      <c r="J9" s="7" t="inlineStr">
        <is>
          <t>Rate source</t>
        </is>
      </c>
      <c r="K9" s="7" t="inlineStr">
        <is>
          <t>Term</t>
        </is>
      </c>
      <c r="L9" s="7" t="inlineStr">
        <is>
          <t>Down</t>
        </is>
      </c>
      <c r="M9" s="7" t="inlineStr">
        <is>
          <t>MONTHLY</t>
        </is>
      </c>
      <c r="N9" s="7" t="inlineStr">
        <is>
          <t>Dep %/yr</t>
        </is>
      </c>
      <c r="O9" s="7" t="inlineStr">
        <is>
          <t>L/100 km</t>
        </is>
      </c>
      <c r="P9" s="7" t="inlineStr">
        <is>
          <t>Notes</t>
        </is>
      </c>
    </row>
    <row r="10">
      <c r="A10" s="8" t="inlineStr">
        <is>
          <t>Lexus</t>
        </is>
      </c>
      <c r="B10" s="8" t="inlineStr">
        <is>
          <t>TX 350</t>
        </is>
      </c>
      <c r="C10" s="9" t="inlineStr">
        <is>
          <t>Luxury (base pkg)</t>
        </is>
      </c>
      <c r="D10" s="10" t="n">
        <v>69855</v>
      </c>
      <c r="E10" s="10" t="n">
        <v>2305</v>
      </c>
      <c r="F10" s="10" t="n">
        <v>72160</v>
      </c>
      <c r="G10" s="10" t="n">
        <v>2334</v>
      </c>
      <c r="H10" s="10" t="n">
        <v>84373</v>
      </c>
      <c r="I10" s="11" t="n">
        <v>2.9</v>
      </c>
      <c r="J10" s="12" t="inlineStr">
        <is>
          <t>QUOTED - Lexus on the Park finance worksheet 2026-09-02, 'special rate', 60 mo</t>
        </is>
      </c>
      <c r="K10" s="8">
        <f>$B$6</f>
        <v/>
      </c>
      <c r="L10" s="10">
        <f>$B$5</f>
        <v/>
      </c>
      <c r="M10" s="13">
        <f>-PMT(I10/100/12,$B$6,H10-$B$5)</f>
        <v/>
      </c>
      <c r="N10" s="8" t="n">
        <v>8</v>
      </c>
      <c r="O10" s="8" t="n">
        <v>11.5</v>
      </c>
      <c r="P10" s="9" t="inlineStr">
        <is>
          <t>Their worksheet totals $86,611 OTD: sell $73,258 (Lexus Canada 'from' price, freight already in) + $870 freight AGAIN + $2,334 dealer fees. About $2.7K above this row. Ask why freight is charged twice.</t>
        </is>
      </c>
    </row>
    <row r="11">
      <c r="A11" s="8" t="inlineStr">
        <is>
          <t>Lexus</t>
        </is>
      </c>
      <c r="B11" s="8" t="inlineStr">
        <is>
          <t>TX 350</t>
        </is>
      </c>
      <c r="C11" s="9" t="inlineStr">
        <is>
          <t>Ultra Luxury</t>
        </is>
      </c>
      <c r="D11" s="10" t="n">
        <v>72608</v>
      </c>
      <c r="E11" s="10" t="n">
        <v>2305</v>
      </c>
      <c r="F11" s="10" t="n">
        <v>74913</v>
      </c>
      <c r="G11" s="10" t="n">
        <v>2334</v>
      </c>
      <c r="H11" s="10" t="n">
        <v>87484</v>
      </c>
      <c r="I11" s="11" t="n">
        <v>2.9</v>
      </c>
      <c r="J11" s="12" t="inlineStr">
        <is>
          <t>QUOTED - same rate applies to all new TX 350</t>
        </is>
      </c>
      <c r="K11" s="8">
        <f>$B$6</f>
        <v/>
      </c>
      <c r="L11" s="10">
        <f>$B$5</f>
        <v/>
      </c>
      <c r="M11" s="13">
        <f>-PMT(I11/100/12,$B$6,H11-$B$5)</f>
        <v/>
      </c>
      <c r="N11" s="8" t="n">
        <v>8</v>
      </c>
      <c r="O11" s="8" t="n">
        <v>11.5</v>
      </c>
      <c r="P11" s="9" t="inlineStr">
        <is>
          <t>Ultra Luxury = +$2,753 over Luxury. Advertised $74,913 matches 4 live listings.</t>
        </is>
      </c>
    </row>
    <row r="12">
      <c r="A12" s="8" t="inlineStr">
        <is>
          <t>Lexus</t>
        </is>
      </c>
      <c r="B12" s="8" t="inlineStr">
        <is>
          <t>TX 350</t>
        </is>
      </c>
      <c r="C12" s="9" t="inlineStr">
        <is>
          <t>Executive 7-Pass</t>
        </is>
      </c>
      <c r="D12" s="10" t="n">
        <v>80861</v>
      </c>
      <c r="E12" s="10" t="n">
        <v>2305</v>
      </c>
      <c r="F12" s="10" t="n">
        <v>83166</v>
      </c>
      <c r="G12" s="10" t="n">
        <v>2334</v>
      </c>
      <c r="H12" s="10" t="n">
        <v>96810</v>
      </c>
      <c r="I12" s="11" t="n">
        <v>2.9</v>
      </c>
      <c r="J12" s="12" t="inlineStr">
        <is>
          <t>QUOTED - finance; lease worksheet showed 1.9%/48 with $4,200 off</t>
        </is>
      </c>
      <c r="K12" s="8">
        <f>$B$6</f>
        <v/>
      </c>
      <c r="L12" s="10">
        <f>$B$5</f>
        <v/>
      </c>
      <c r="M12" s="13">
        <f>-PMT(I12/100/12,$B$6,H12-$B$5)</f>
        <v/>
      </c>
      <c r="N12" s="8" t="n">
        <v>8</v>
      </c>
      <c r="O12" s="8" t="n">
        <v>11.5</v>
      </c>
      <c r="P12" s="9" t="inlineStr">
        <is>
          <t>Executive = +$11,006 over Luxury. Lease sheet: $939/mo, 24,000 km/yr, residual 42%.</t>
        </is>
      </c>
    </row>
    <row r="13">
      <c r="A13" s="8" t="inlineStr">
        <is>
          <t>Lexus</t>
        </is>
      </c>
      <c r="B13" s="8" t="inlineStr">
        <is>
          <t>TX 500h</t>
        </is>
      </c>
      <c r="C13" s="9" t="inlineStr">
        <is>
          <t>F SPORT Performance 2</t>
        </is>
      </c>
      <c r="D13" s="10" t="n">
        <v>85400</v>
      </c>
      <c r="E13" s="10" t="n">
        <v>2305</v>
      </c>
      <c r="F13" s="10" t="n">
        <v>87705</v>
      </c>
      <c r="G13" s="10" t="n">
        <v>2334</v>
      </c>
      <c r="H13" s="10" t="n">
        <v>101939</v>
      </c>
      <c r="I13" s="11" t="n">
        <v>5.5</v>
      </c>
      <c r="J13" s="12" t="inlineStr">
        <is>
          <t>PUBLISHED - Don Valley North Lexus, 60 mo (lease 5.9%/24, Lexus Canada 6.7%/48)</t>
        </is>
      </c>
      <c r="K13" s="8">
        <f>$B$6</f>
        <v/>
      </c>
      <c r="L13" s="10">
        <f>$B$5</f>
        <v/>
      </c>
      <c r="M13" s="13">
        <f>-PMT(I13/100/12,$B$6,H13-$B$5)</f>
        <v/>
      </c>
      <c r="N13" s="8" t="n">
        <v>8</v>
      </c>
      <c r="O13" s="8" t="n">
        <v>8.6</v>
      </c>
      <c r="P13" s="9" t="inlineStr">
        <is>
          <t>Only 2 new 500h in Ontario ($90,225 / $93,704 - both ABOVE the $87,705 sticker). 366 hp.</t>
        </is>
      </c>
    </row>
    <row r="14">
      <c r="A14" s="8" t="inlineStr">
        <is>
          <t>Toyota</t>
        </is>
      </c>
      <c r="B14" s="8" t="inlineStr">
        <is>
          <t>Grand Highlander</t>
        </is>
      </c>
      <c r="C14" s="9" t="inlineStr">
        <is>
          <t>HYBRID XLE (2.5L NA)</t>
        </is>
      </c>
      <c r="D14" s="10" t="n">
        <v>56632</v>
      </c>
      <c r="E14" s="10" t="n">
        <v>2030</v>
      </c>
      <c r="F14" s="10" t="n">
        <v>58662</v>
      </c>
      <c r="G14" s="10" t="n">
        <v>495</v>
      </c>
      <c r="H14" s="10" t="n">
        <v>67043</v>
      </c>
      <c r="I14" s="14" t="n">
        <v>6.99</v>
      </c>
      <c r="J14" s="15" t="inlineStr">
        <is>
          <t>ASSUMED = Toyota Canada published LEASE rate 6.99%/60; finance rate NOT obtained</t>
        </is>
      </c>
      <c r="K14" s="8">
        <f>$B$6</f>
        <v/>
      </c>
      <c r="L14" s="10">
        <f>$B$5</f>
        <v/>
      </c>
      <c r="M14" s="13">
        <f>-PMT(I14/100/12,$B$6,H14-$B$5)</f>
        <v/>
      </c>
      <c r="N14" s="8" t="n">
        <v>8</v>
      </c>
      <c r="O14" s="8" t="n">
        <v>6.8</v>
      </c>
      <c r="P14" s="9" t="inlineStr">
        <is>
          <t>Toyota Canada all-in FROM $58,661.92. The 10-year-hold pick. NOT the turbo.</t>
        </is>
      </c>
    </row>
    <row r="15">
      <c r="A15" s="8" t="inlineStr">
        <is>
          <t>Toyota</t>
        </is>
      </c>
      <c r="B15" s="8" t="inlineStr">
        <is>
          <t>Grand Highlander</t>
        </is>
      </c>
      <c r="C15" s="9" t="inlineStr">
        <is>
          <t>HYBRID Limited (2.5L NA)</t>
        </is>
      </c>
      <c r="D15" s="10" t="n">
        <v>63967</v>
      </c>
      <c r="E15" s="10" t="n">
        <v>2030</v>
      </c>
      <c r="F15" s="10" t="n">
        <v>65997</v>
      </c>
      <c r="G15" s="10" t="n">
        <v>495</v>
      </c>
      <c r="H15" s="10" t="n">
        <v>75331</v>
      </c>
      <c r="I15" s="14" t="n">
        <v>6.99</v>
      </c>
      <c r="J15" s="15" t="inlineStr">
        <is>
          <t>ASSUMED - see above</t>
        </is>
      </c>
      <c r="K15" s="8">
        <f>$B$6</f>
        <v/>
      </c>
      <c r="L15" s="10">
        <f>$B$5</f>
        <v/>
      </c>
      <c r="M15" s="13">
        <f>-PMT(I15/100/12,$B$6,H15-$B$5)</f>
        <v/>
      </c>
      <c r="N15" s="8" t="n">
        <v>8</v>
      </c>
      <c r="O15" s="8" t="n">
        <v>6.8</v>
      </c>
      <c r="P15" s="9" t="inlineStr">
        <is>
          <t>Toyota Canada all-in FROM $65,996.92.</t>
        </is>
      </c>
    </row>
    <row r="16">
      <c r="A16" s="8" t="inlineStr">
        <is>
          <t>Toyota</t>
        </is>
      </c>
      <c r="B16" s="8" t="inlineStr">
        <is>
          <t>Grand Highlander</t>
        </is>
      </c>
      <c r="C16" s="9" t="inlineStr">
        <is>
          <t>Platinum HYBRID MAX (2.4 TURBO)</t>
        </is>
      </c>
      <c r="D16" s="10" t="n">
        <v>68227</v>
      </c>
      <c r="E16" s="10" t="n">
        <v>2030</v>
      </c>
      <c r="F16" s="10" t="n">
        <v>70257</v>
      </c>
      <c r="G16" s="10" t="n">
        <v>495</v>
      </c>
      <c r="H16" s="10" t="n">
        <v>80145</v>
      </c>
      <c r="I16" s="14" t="n">
        <v>6.99</v>
      </c>
      <c r="J16" s="15" t="inlineStr">
        <is>
          <t>ASSUMED - see above</t>
        </is>
      </c>
      <c r="K16" s="8">
        <f>$B$6</f>
        <v/>
      </c>
      <c r="L16" s="10">
        <f>$B$5</f>
        <v/>
      </c>
      <c r="M16" s="13">
        <f>-PMT(I16/100/12,$B$6,H16-$B$5)</f>
        <v/>
      </c>
      <c r="N16" s="8" t="n">
        <v>8</v>
      </c>
      <c r="O16" s="8" t="n">
        <v>8.6</v>
      </c>
      <c r="P16" s="9" t="inlineStr">
        <is>
          <t>Toyota Canada all-in FROM $70,256.92. Turbo - reintroduces the failure modes you are avoiding.</t>
        </is>
      </c>
    </row>
    <row r="17">
      <c r="A17" s="8" t="inlineStr">
        <is>
          <t>Toyota</t>
        </is>
      </c>
      <c r="B17" s="8" t="inlineStr">
        <is>
          <t>Grand Highlander</t>
        </is>
      </c>
      <c r="C17" s="9" t="inlineStr">
        <is>
          <t>XLE (gas 2.4T)</t>
        </is>
      </c>
      <c r="D17" s="10" t="n">
        <v>53232</v>
      </c>
      <c r="E17" s="10" t="n">
        <v>2030</v>
      </c>
      <c r="F17" s="10" t="n">
        <v>55262</v>
      </c>
      <c r="G17" s="10" t="n">
        <v>495</v>
      </c>
      <c r="H17" s="10" t="n">
        <v>63201</v>
      </c>
      <c r="I17" s="14" t="n">
        <v>6.99</v>
      </c>
      <c r="J17" s="15" t="inlineStr">
        <is>
          <t>ASSUMED - see above</t>
        </is>
      </c>
      <c r="K17" s="8">
        <f>$B$6</f>
        <v/>
      </c>
      <c r="L17" s="10">
        <f>$B$5</f>
        <v/>
      </c>
      <c r="M17" s="13">
        <f>-PMT(I17/100/12,$B$6,H17-$B$5)</f>
        <v/>
      </c>
      <c r="N17" s="8" t="n">
        <v>8</v>
      </c>
      <c r="O17" s="8" t="n">
        <v>9.5</v>
      </c>
      <c r="P17" s="9" t="inlineStr">
        <is>
          <t>Toyota Canada all-in FROM $55,261.92.</t>
        </is>
      </c>
    </row>
    <row r="18">
      <c r="A18" s="8" t="inlineStr">
        <is>
          <t>Toyota</t>
        </is>
      </c>
      <c r="B18" s="8" t="inlineStr">
        <is>
          <t>Highlander</t>
        </is>
      </c>
      <c r="C18" s="9" t="inlineStr">
        <is>
          <t>HYBRID XLE (2.5L NA)</t>
        </is>
      </c>
      <c r="D18" s="10" t="n"/>
      <c r="E18" s="10" t="n"/>
      <c r="F18" s="10" t="n">
        <v>61687</v>
      </c>
      <c r="G18" s="10" t="n">
        <v>495</v>
      </c>
      <c r="H18" s="10" t="n">
        <v>70461</v>
      </c>
      <c r="I18" s="14" t="n">
        <v>6.99</v>
      </c>
      <c r="J18" s="15" t="inlineStr">
        <is>
          <t>ASSUMED - finance rate not obtained</t>
        </is>
      </c>
      <c r="K18" s="8">
        <f>$B$6</f>
        <v/>
      </c>
      <c r="L18" s="10">
        <f>$B$5</f>
        <v/>
      </c>
      <c r="M18" s="13">
        <f>-PMT(I18/100/12,$B$6,H18-$B$5)</f>
        <v/>
      </c>
      <c r="N18" s="8" t="n">
        <v>8</v>
      </c>
      <c r="O18" s="8" t="n">
        <v>6.7</v>
      </c>
      <c r="P18" s="9" t="inlineStr">
        <is>
          <t>Factory-order listing price; official MSRP not pulled. Smaller 3rd row than Grand Highlander.</t>
        </is>
      </c>
    </row>
    <row r="19">
      <c r="A19" s="8" t="inlineStr">
        <is>
          <t>Toyota</t>
        </is>
      </c>
      <c r="B19" s="8" t="inlineStr">
        <is>
          <t>Highlander</t>
        </is>
      </c>
      <c r="C19" s="9" t="inlineStr">
        <is>
          <t>HYBRID Limited (2.5L NA)</t>
        </is>
      </c>
      <c r="D19" s="10" t="n"/>
      <c r="E19" s="10" t="n"/>
      <c r="F19" s="10" t="n">
        <v>67067</v>
      </c>
      <c r="G19" s="10" t="n">
        <v>495</v>
      </c>
      <c r="H19" s="10" t="n">
        <v>76540</v>
      </c>
      <c r="I19" s="14" t="n">
        <v>6.99</v>
      </c>
      <c r="J19" s="15" t="inlineStr">
        <is>
          <t>ASSUMED - finance rate not obtained</t>
        </is>
      </c>
      <c r="K19" s="8">
        <f>$B$6</f>
        <v/>
      </c>
      <c r="L19" s="10">
        <f>$B$5</f>
        <v/>
      </c>
      <c r="M19" s="13">
        <f>-PMT(I19/100/12,$B$6,H19-$B$5)</f>
        <v/>
      </c>
      <c r="N19" s="8" t="n">
        <v>8</v>
      </c>
      <c r="O19" s="8" t="n">
        <v>6.7</v>
      </c>
      <c r="P19" s="9" t="inlineStr">
        <is>
          <t>Factory-order listing price.</t>
        </is>
      </c>
    </row>
    <row r="20">
      <c r="A20" s="8" t="inlineStr">
        <is>
          <t>Hyundai</t>
        </is>
      </c>
      <c r="B20" s="8" t="inlineStr">
        <is>
          <t>Palisade Hybrid</t>
        </is>
      </c>
      <c r="C20" s="9" t="inlineStr">
        <is>
          <t>Ultimate Calligraphy (2.5T hybrid), 2027</t>
        </is>
      </c>
      <c r="D20" s="10" t="n"/>
      <c r="E20" s="10" t="n"/>
      <c r="F20" s="10" t="n">
        <v>69099</v>
      </c>
      <c r="G20" s="10" t="n">
        <v>495</v>
      </c>
      <c r="H20" s="10" t="n">
        <v>78836</v>
      </c>
      <c r="I20" s="14" t="n">
        <v>6.99</v>
      </c>
      <c r="J20" s="15" t="inlineStr">
        <is>
          <t>NOT OBTAINED - assumed 6.99%; ask Hamilton Hyundai</t>
        </is>
      </c>
      <c r="K20" s="8">
        <f>$B$6</f>
        <v/>
      </c>
      <c r="L20" s="10">
        <f>$B$5</f>
        <v/>
      </c>
      <c r="M20" s="13">
        <f>-PMT(I20/100/12,$B$6,H20-$B$5)</f>
        <v/>
      </c>
      <c r="N20" s="8" t="n">
        <v>10</v>
      </c>
      <c r="O20" s="8" t="n">
        <v>8.1</v>
      </c>
      <c r="P20" s="9" t="inlineStr">
        <is>
          <t>329 hp / 339 lb-ft. Brown Nappa interior: 2 confirmed in Ontario, both Hamilton Hyundai, ETA late Oct.</t>
        </is>
      </c>
    </row>
    <row r="21">
      <c r="A21" s="8" t="inlineStr">
        <is>
          <t>Hyundai</t>
        </is>
      </c>
      <c r="B21" s="8" t="inlineStr">
        <is>
          <t>Palisade Hybrid</t>
        </is>
      </c>
      <c r="C21" s="9" t="inlineStr">
        <is>
          <t>Ultimate Calligraphy, 2026 (new, last year's MY)</t>
        </is>
      </c>
      <c r="D21" s="10" t="n"/>
      <c r="E21" s="10" t="n"/>
      <c r="F21" s="10" t="n">
        <v>66976</v>
      </c>
      <c r="G21" s="10" t="n">
        <v>495</v>
      </c>
      <c r="H21" s="10" t="n">
        <v>76437</v>
      </c>
      <c r="I21" s="14" t="n">
        <v>6.99</v>
      </c>
      <c r="J21" s="15" t="inlineStr">
        <is>
          <t>NOT OBTAINED - assumed 6.99%</t>
        </is>
      </c>
      <c r="K21" s="8">
        <f>$B$6</f>
        <v/>
      </c>
      <c r="L21" s="10">
        <f>$B$5</f>
        <v/>
      </c>
      <c r="M21" s="13">
        <f>-PMT(I21/100/12,$B$6,H21-$B$5)</f>
        <v/>
      </c>
      <c r="N21" s="8" t="n">
        <v>10</v>
      </c>
      <c r="O21" s="8" t="n">
        <v>8.1</v>
      </c>
      <c r="P21" s="9" t="inlineStr">
        <is>
          <t>Silver, 25 km, listed at MSRP. $2,123 under the 2027.</t>
        </is>
      </c>
    </row>
    <row r="22">
      <c r="A22" s="8" t="inlineStr">
        <is>
          <t>Hyundai</t>
        </is>
      </c>
      <c r="B22" s="8" t="inlineStr">
        <is>
          <t>Palisade</t>
        </is>
      </c>
      <c r="C22" s="9" t="inlineStr">
        <is>
          <t>Ultimate Calligraphy (gas 3.8 V6)</t>
        </is>
      </c>
      <c r="D22" s="10" t="n"/>
      <c r="E22" s="10" t="n"/>
      <c r="F22" s="10" t="n"/>
      <c r="G22" s="10" t="n">
        <v>495</v>
      </c>
      <c r="H22" s="10" t="n"/>
      <c r="I22" s="14" t="n"/>
      <c r="J22" s="15" t="inlineStr">
        <is>
          <t>not priced new in this scan</t>
        </is>
      </c>
      <c r="K22" s="8" t="n"/>
      <c r="L22" s="8" t="n"/>
      <c r="M22" s="8" t="n"/>
      <c r="N22" s="8" t="n">
        <v>10</v>
      </c>
      <c r="O22" s="8" t="n">
        <v>11.9</v>
      </c>
      <c r="P22" s="9" t="inlineStr">
        <is>
          <t>Scouted USED only (Clutch). Oil-consumption + transmission risk at high km.</t>
        </is>
      </c>
    </row>
    <row r="23">
      <c r="A23" s="8" t="inlineStr">
        <is>
          <t>Genesis</t>
        </is>
      </c>
      <c r="B23" s="8" t="inlineStr">
        <is>
          <t>GV80</t>
        </is>
      </c>
      <c r="C23" s="9" t="inlineStr">
        <is>
          <t>3.5T Prestige 7-Pass</t>
        </is>
      </c>
      <c r="D23" s="10" t="n"/>
      <c r="E23" s="10" t="n"/>
      <c r="F23" s="10" t="n">
        <v>96888</v>
      </c>
      <c r="G23" s="10" t="n">
        <v>1540</v>
      </c>
      <c r="H23" s="10" t="n">
        <v>111419</v>
      </c>
      <c r="I23" s="14" t="n">
        <v>2.99</v>
      </c>
      <c r="J23" s="15" t="inlineStr">
        <is>
          <t>SEEN on a Genesis Yorkdale listing ('as low as 2.99%') - CPO car; CONFIRM for new</t>
        </is>
      </c>
      <c r="K23" s="8">
        <f>$B$6</f>
        <v/>
      </c>
      <c r="L23" s="10">
        <f>$B$5</f>
        <v/>
      </c>
      <c r="M23" s="13">
        <f>-PMT(I23/100/12,$B$6,H23-$B$5)</f>
        <v/>
      </c>
      <c r="N23" s="8" t="n">
        <v>15</v>
      </c>
      <c r="O23" s="8" t="n">
        <v>11.5</v>
      </c>
      <c r="P23" s="9" t="inlineStr">
        <is>
          <t>Lowest-km franchise 2026 observed; official MSRP not verified. WORST depreciation measured (15%/yr top trim).</t>
        </is>
      </c>
    </row>
    <row r="24">
      <c r="A24" s="8" t="inlineStr">
        <is>
          <t>Mitsubishi</t>
        </is>
      </c>
      <c r="B24" s="8" t="inlineStr">
        <is>
          <t>Outlander PHEV</t>
        </is>
      </c>
      <c r="C24" s="9" t="inlineStr">
        <is>
          <t>SEL</t>
        </is>
      </c>
      <c r="D24" s="10" t="n">
        <v>59823</v>
      </c>
      <c r="E24" s="10" t="n">
        <v>0</v>
      </c>
      <c r="F24" s="10" t="n">
        <v>55573</v>
      </c>
      <c r="G24" s="10" t="n">
        <v>495</v>
      </c>
      <c r="H24" s="10" t="n">
        <v>63552</v>
      </c>
      <c r="I24" s="14" t="n">
        <v>6.99</v>
      </c>
      <c r="J24" s="15" t="inlineStr">
        <is>
          <t>NOT OBTAINED - assumed 6.99%</t>
        </is>
      </c>
      <c r="K24" s="8">
        <f>$B$6</f>
        <v/>
      </c>
      <c r="L24" s="10">
        <f>$B$5</f>
        <v/>
      </c>
      <c r="M24" s="13">
        <f>-PMT(I24/100/12,$B$6,H24-$B$5)</f>
        <v/>
      </c>
      <c r="N24" s="8" t="n">
        <v>18</v>
      </c>
      <c r="O24" s="8" t="n">
        <v>3.2</v>
      </c>
      <c r="P24" s="9" t="inlineStr">
        <is>
          <t>MSRP printed on listing; $4,250 off. 72 km EV range; 8.6 L/100km once flat. 10yr/160,000km powertrain.</t>
        </is>
      </c>
    </row>
    <row r="25">
      <c r="A25" s="8" t="inlineStr">
        <is>
          <t>Mitsubishi</t>
        </is>
      </c>
      <c r="B25" s="8" t="inlineStr">
        <is>
          <t>Outlander PHEV</t>
        </is>
      </c>
      <c r="C25" s="9" t="inlineStr">
        <is>
          <t>GT</t>
        </is>
      </c>
      <c r="D25" s="10" t="n">
        <v>63423</v>
      </c>
      <c r="E25" s="10" t="n">
        <v>0</v>
      </c>
      <c r="F25" s="10" t="n">
        <v>59173</v>
      </c>
      <c r="G25" s="10" t="n">
        <v>495</v>
      </c>
      <c r="H25" s="10" t="n">
        <v>67620</v>
      </c>
      <c r="I25" s="14" t="n">
        <v>6.99</v>
      </c>
      <c r="J25" s="15" t="inlineStr">
        <is>
          <t>NOT OBTAINED - assumed 6.99%</t>
        </is>
      </c>
      <c r="K25" s="8">
        <f>$B$6</f>
        <v/>
      </c>
      <c r="L25" s="10">
        <f>$B$5</f>
        <v/>
      </c>
      <c r="M25" s="13">
        <f>-PMT(I25/100/12,$B$6,H25-$B$5)</f>
        <v/>
      </c>
      <c r="N25" s="8" t="n">
        <v>18</v>
      </c>
      <c r="O25" s="8" t="n">
        <v>3.2</v>
      </c>
      <c r="P25" s="9" t="inlineStr">
        <is>
          <t>$4,250 off MSRP. Best warranty in this set.</t>
        </is>
      </c>
    </row>
    <row r="26">
      <c r="A26" s="8" t="inlineStr">
        <is>
          <t>Mitsubishi</t>
        </is>
      </c>
      <c r="B26" s="8" t="inlineStr">
        <is>
          <t>Outlander PHEV</t>
        </is>
      </c>
      <c r="C26" s="9" t="inlineStr">
        <is>
          <t>GT Premium</t>
        </is>
      </c>
      <c r="D26" s="10" t="n">
        <v>64523</v>
      </c>
      <c r="E26" s="10" t="n">
        <v>0</v>
      </c>
      <c r="F26" s="10" t="n">
        <v>60273</v>
      </c>
      <c r="G26" s="10" t="n">
        <v>495</v>
      </c>
      <c r="H26" s="10" t="n">
        <v>68863</v>
      </c>
      <c r="I26" s="14" t="n">
        <v>6.99</v>
      </c>
      <c r="J26" s="15" t="inlineStr">
        <is>
          <t>NOT OBTAINED - assumed 6.99%</t>
        </is>
      </c>
      <c r="K26" s="8">
        <f>$B$6</f>
        <v/>
      </c>
      <c r="L26" s="10">
        <f>$B$5</f>
        <v/>
      </c>
      <c r="M26" s="13">
        <f>-PMT(I26/100/12,$B$6,H26-$B$5)</f>
        <v/>
      </c>
      <c r="N26" s="8" t="n">
        <v>18</v>
      </c>
      <c r="O26" s="8" t="n">
        <v>3.2</v>
      </c>
      <c r="P26" s="9" t="inlineStr">
        <is>
          <t>297 hp, massage seats, semi-aniline (black only).</t>
        </is>
      </c>
    </row>
    <row r="27">
      <c r="A27" s="8" t="inlineStr">
        <is>
          <t>Tesla</t>
        </is>
      </c>
      <c r="B27" s="8" t="inlineStr">
        <is>
          <t>Model Y</t>
        </is>
      </c>
      <c r="C27" s="9" t="inlineStr">
        <is>
          <t>Long Range AWD (new)</t>
        </is>
      </c>
      <c r="D27" s="10" t="n"/>
      <c r="E27" s="10" t="n"/>
      <c r="F27" s="10" t="n">
        <v>64990</v>
      </c>
      <c r="G27" s="10" t="n">
        <v>0</v>
      </c>
      <c r="H27" s="10" t="n">
        <v>73634</v>
      </c>
      <c r="I27" s="14" t="n">
        <v>6.99</v>
      </c>
      <c r="J27" s="15" t="inlineStr">
        <is>
          <t>NOT OBTAINED - Tesla finance; assumed 6.99%</t>
        </is>
      </c>
      <c r="K27" s="8">
        <f>$B$6</f>
        <v/>
      </c>
      <c r="L27" s="10">
        <f>$B$5</f>
        <v/>
      </c>
      <c r="M27" s="13">
        <f>-PMT(I27/100/12,$B$6,H27-$B$5)</f>
        <v/>
      </c>
      <c r="N27" s="8" t="n">
        <v>14</v>
      </c>
      <c r="O27" s="8" t="n"/>
      <c r="P27" s="9" t="inlineStr">
        <is>
          <t>Tesla configurator, gas-savings box UNCHECKED. 5 SEATS. FSD is $99/mo subscription only since 2026-02-14.</t>
        </is>
      </c>
    </row>
    <row r="28">
      <c r="A28" s="8" t="inlineStr">
        <is>
          <t>Volvo</t>
        </is>
      </c>
      <c r="B28" s="8" t="inlineStr">
        <is>
          <t>XC90</t>
        </is>
      </c>
      <c r="C28" s="9" t="inlineStr">
        <is>
          <t>B6 Ultra</t>
        </is>
      </c>
      <c r="D28" s="10" t="n"/>
      <c r="E28" s="10" t="n"/>
      <c r="F28" s="10" t="n"/>
      <c r="G28" s="10" t="n">
        <v>495</v>
      </c>
      <c r="H28" s="10" t="n"/>
      <c r="I28" s="14" t="n"/>
      <c r="J28" s="15" t="inlineStr">
        <is>
          <t>scouted USED only</t>
        </is>
      </c>
      <c r="K28" s="8" t="n"/>
      <c r="L28" s="8" t="n"/>
      <c r="M28" s="8" t="n"/>
      <c r="N28" s="8" t="n">
        <v>11</v>
      </c>
      <c r="O28" s="8" t="n">
        <v>10.4</v>
      </c>
      <c r="P28" s="9" t="inlineStr">
        <is>
          <t>4yr/80,000km warranty = 1.9 yr at your mileage. Highest maintenance here (~$1,248/yr).</t>
        </is>
      </c>
    </row>
    <row r="29">
      <c r="A29" s="8" t="inlineStr">
        <is>
          <t>Porsche</t>
        </is>
      </c>
      <c r="B29" s="8" t="inlineStr">
        <is>
          <t>Macan</t>
        </is>
      </c>
      <c r="C29" s="9" t="inlineStr">
        <is>
          <t>base 2.0T / S</t>
        </is>
      </c>
      <c r="D29" s="10" t="n"/>
      <c r="E29" s="10" t="n"/>
      <c r="F29" s="10" t="n"/>
      <c r="G29" s="10" t="n">
        <v>495</v>
      </c>
      <c r="H29" s="10" t="n"/>
      <c r="I29" s="14" t="n"/>
      <c r="J29" s="15" t="inlineStr">
        <is>
          <t>scouted USED only (Porsche Approved)</t>
        </is>
      </c>
      <c r="K29" s="8" t="n"/>
      <c r="L29" s="8" t="n"/>
      <c r="M29" s="8" t="n"/>
      <c r="N29" s="8" t="n">
        <v>11</v>
      </c>
      <c r="O29" s="8" t="n">
        <v>11.2</v>
      </c>
      <c r="P29" s="9" t="inlineStr">
        <is>
          <t>9 service visits in 5 yr at your mileage; 5 seats.</t>
        </is>
      </c>
    </row>
    <row r="32">
      <c r="A32" s="6" t="inlineStr">
        <is>
          <t>TABLE 2 - LIVE INVENTORY  (103 vehicles, every link verified this week)</t>
        </is>
      </c>
    </row>
    <row r="33">
      <c r="A33" s="7" t="inlineStr">
        <is>
          <t>Make</t>
        </is>
      </c>
      <c r="B33" s="7" t="inlineStr">
        <is>
          <t>Model</t>
        </is>
      </c>
      <c r="C33" s="7" t="inlineStr">
        <is>
          <t>Trim</t>
        </is>
      </c>
      <c r="D33" s="7" t="inlineStr">
        <is>
          <t>Year</t>
        </is>
      </c>
      <c r="E33" s="7" t="inlineStr">
        <is>
          <t>Asking price</t>
        </is>
      </c>
      <c r="F33" s="7" t="inlineStr">
        <is>
          <t>MSRP</t>
        </is>
      </c>
      <c r="G33" s="7" t="inlineStr">
        <is>
          <t>MSRP source</t>
        </is>
      </c>
      <c r="H33" s="7" t="inlineStr">
        <is>
          <t>Odometer km</t>
        </is>
      </c>
      <c r="I33" s="7" t="inlineStr">
        <is>
          <t>Asking vs MSRP</t>
        </is>
      </c>
      <c r="J33" s="7" t="inlineStr">
        <is>
          <t>Status / notes</t>
        </is>
      </c>
      <c r="K33" s="7" t="inlineStr">
        <is>
          <t>Seller</t>
        </is>
      </c>
      <c r="L33" s="7" t="inlineStr">
        <is>
          <t>Listing</t>
        </is>
      </c>
      <c r="M33" s="7" t="inlineStr">
        <is>
          <t>Scan</t>
        </is>
      </c>
    </row>
    <row r="34">
      <c r="A34" s="8" t="inlineStr">
        <is>
          <t>Genesis</t>
        </is>
      </c>
      <c r="B34" s="8" t="inlineStr">
        <is>
          <t>GV80</t>
        </is>
      </c>
      <c r="C34" s="9" t="inlineStr">
        <is>
          <t>2.5T Advanced, Genesis Certified</t>
        </is>
      </c>
      <c r="D34" s="8" t="n">
        <v>2021</v>
      </c>
      <c r="E34" s="10" t="n">
        <v>35995</v>
      </c>
      <c r="F34" s="10" t="n">
        <v>64500</v>
      </c>
      <c r="G34" s="9" t="inlineStr">
        <is>
          <t>Genesis Canada 2021 launch MSRP, 2.5T Advanced</t>
        </is>
      </c>
      <c r="H34" s="16" t="n">
        <v>80911</v>
      </c>
      <c r="I34" s="17">
        <f>E34-F34</f>
        <v/>
      </c>
      <c r="J34" s="9" t="inlineStr">
        <is>
          <t>franchise / 5 seats / green</t>
        </is>
      </c>
      <c r="K34" s="8" t="inlineStr">
        <is>
          <t>Genesis Certified</t>
        </is>
      </c>
      <c r="L34" s="18">
        <f>HYPERLINK("https://www.autotrader.ca/offers/genesis-gv80-2-5t-advanced-genesis-certified-low-rates-gasoline-green-cat_ma51885gr200589va3473mt14075tr481240-a4632bb7-e40d-4445-9368-600c80d41b8e","open")</f>
        <v/>
      </c>
      <c r="M34" s="8" t="inlineStr">
        <is>
          <t>Genesis scan 09-01</t>
        </is>
      </c>
    </row>
    <row r="35">
      <c r="A35" s="8" t="inlineStr">
        <is>
          <t>Genesis</t>
        </is>
      </c>
      <c r="B35" s="8" t="inlineStr">
        <is>
          <t>GV80</t>
        </is>
      </c>
      <c r="C35" s="9" t="inlineStr">
        <is>
          <t>2.5T Advanced AWD</t>
        </is>
      </c>
      <c r="D35" s="8" t="n">
        <v>2023</v>
      </c>
      <c r="E35" s="10" t="n">
        <v>45689</v>
      </c>
      <c r="F35" s="10" t="n">
        <v>64500</v>
      </c>
      <c r="G35" s="9" t="inlineStr">
        <is>
          <t>Genesis Canada 2021 launch MSRP, 2.5T Advanced</t>
        </is>
      </c>
      <c r="H35" s="16" t="n">
        <v>32216</v>
      </c>
      <c r="I35" s="17">
        <f>E35-F35</f>
        <v/>
      </c>
      <c r="J35" s="9" t="inlineStr">
        <is>
          <t>unknown / 5 seats / grey</t>
        </is>
      </c>
      <c r="K35" s="8" t="inlineStr">
        <is>
          <t>Ontario dealer</t>
        </is>
      </c>
      <c r="L35" s="18">
        <f>HYPERLINK("https://www.autotrader.ca/offers/genesis-gv80-2-5t-advanced-awd-gasoline-grey-cat_ma51885gr200589va3473mt14075tr481240-13012d96-e24b-4926-93a6-7734b9a202dc","open")</f>
        <v/>
      </c>
      <c r="M35" s="8" t="inlineStr">
        <is>
          <t>Genesis scan 09-01</t>
        </is>
      </c>
    </row>
    <row r="36">
      <c r="A36" s="8" t="inlineStr">
        <is>
          <t>Genesis</t>
        </is>
      </c>
      <c r="B36" s="8" t="inlineStr">
        <is>
          <t>GV80</t>
        </is>
      </c>
      <c r="C36" s="9" t="inlineStr">
        <is>
          <t>3rd Row Seating</t>
        </is>
      </c>
      <c r="D36" s="8" t="n">
        <v>2022</v>
      </c>
      <c r="E36" s="10" t="n">
        <v>47990</v>
      </c>
      <c r="F36" s="10" t="n">
        <v>80000</v>
      </c>
      <c r="G36" s="9" t="inlineStr">
        <is>
          <t>Genesis Canada 2021 launch MSRP, 3.5T Advanced</t>
        </is>
      </c>
      <c r="H36" s="16" t="n">
        <v>60954</v>
      </c>
      <c r="I36" s="17">
        <f>E36-F36</f>
        <v/>
      </c>
      <c r="J36" s="9" t="inlineStr">
        <is>
          <t>unknown / 7 seats / grey</t>
        </is>
      </c>
      <c r="K36" s="8" t="inlineStr">
        <is>
          <t>Ontario dealer</t>
        </is>
      </c>
      <c r="L36" s="18">
        <f>HYPERLINK("https://www.autotrader.ca/offers/genesis-gv80-3rd-row-seating-gasoline-grey-cat_ma51885gr200589va3473mt14077tr481244-b4d1a918-4c24-41c8-a6a2-58e11b202aab","open")</f>
        <v/>
      </c>
      <c r="M36" s="8" t="inlineStr">
        <is>
          <t>Genesis scan 09-01</t>
        </is>
      </c>
    </row>
    <row r="37">
      <c r="A37" s="8" t="inlineStr">
        <is>
          <t>Genesis</t>
        </is>
      </c>
      <c r="B37" s="8" t="inlineStr">
        <is>
          <t>GV80</t>
        </is>
      </c>
      <c r="C37" s="9" t="inlineStr">
        <is>
          <t>3.5T Prestige AWD 7P</t>
        </is>
      </c>
      <c r="D37" s="8" t="n">
        <v>2024</v>
      </c>
      <c r="E37" s="10" t="n">
        <v>59888</v>
      </c>
      <c r="F37" s="10" t="n">
        <v>85000</v>
      </c>
      <c r="G37" s="9" t="inlineStr">
        <is>
          <t>Genesis Canada 2021 launch MSRP, 3.5T Prestige (later MY higher)</t>
        </is>
      </c>
      <c r="H37" s="16" t="n">
        <v>40575</v>
      </c>
      <c r="I37" s="17">
        <f>E37-F37</f>
        <v/>
      </c>
      <c r="J37" s="9" t="inlineStr">
        <is>
          <t>unknown / 7 seats / white</t>
        </is>
      </c>
      <c r="K37" s="8" t="inlineStr">
        <is>
          <t>Ontario dealer</t>
        </is>
      </c>
      <c r="L37" s="18">
        <f>HYPERLINK("https://www.autotrader.ca/offers/genesis-gv80-3-5t-prestige-awd-7p-gasoline-white-cat_ma51885gr200589va3473mt14077tr481244-ee983f20-a6e7-4b50-9663-8c6e22a493ee","open")</f>
        <v/>
      </c>
      <c r="M37" s="8" t="inlineStr">
        <is>
          <t>Genesis scan 09-01</t>
        </is>
      </c>
    </row>
    <row r="38">
      <c r="A38" s="8" t="inlineStr">
        <is>
          <t>Genesis</t>
        </is>
      </c>
      <c r="B38" s="8" t="inlineStr">
        <is>
          <t>GV80</t>
        </is>
      </c>
      <c r="C38" s="9" t="inlineStr">
        <is>
          <t>3.5T Advanced AWD 7P, black leather</t>
        </is>
      </c>
      <c r="D38" s="8" t="n">
        <v>2025</v>
      </c>
      <c r="E38" s="10" t="n">
        <v>63021</v>
      </c>
      <c r="F38" s="10" t="n">
        <v>80000</v>
      </c>
      <c r="G38" s="9" t="inlineStr">
        <is>
          <t>Genesis Canada 2021 launch MSRP, 3.5T Advanced</t>
        </is>
      </c>
      <c r="H38" s="16" t="n">
        <v>35549</v>
      </c>
      <c r="I38" s="17">
        <f>E38-F38</f>
        <v/>
      </c>
      <c r="J38" s="9" t="inlineStr">
        <is>
          <t>unknown / 7 seats / black</t>
        </is>
      </c>
      <c r="K38" s="8" t="inlineStr">
        <is>
          <t>Ontario dealer</t>
        </is>
      </c>
      <c r="L38" s="18">
        <f>HYPERLINK("https://www.autotrader.ca/offers/genesis-gv80-3-5t-advanced-awd-7-passenger-black-leather-gasoline-black-cat_ma51885gr200589va3473mt14077tr481244-3875468b-f4ac-461b-b4cc-e27776bb8047","open")</f>
        <v/>
      </c>
      <c r="M38" s="8" t="inlineStr">
        <is>
          <t>Genesis scan 09-01</t>
        </is>
      </c>
    </row>
    <row r="39">
      <c r="A39" s="8" t="inlineStr">
        <is>
          <t>Genesis</t>
        </is>
      </c>
      <c r="B39" s="8" t="inlineStr">
        <is>
          <t>GV80</t>
        </is>
      </c>
      <c r="C39" s="9" t="inlineStr">
        <is>
          <t>3.5T Prestige AWD 7P Luxury</t>
        </is>
      </c>
      <c r="D39" s="8" t="n">
        <v>2024</v>
      </c>
      <c r="E39" s="10" t="n">
        <v>64697</v>
      </c>
      <c r="F39" s="10" t="n">
        <v>85000</v>
      </c>
      <c r="G39" s="9" t="inlineStr">
        <is>
          <t>Genesis Canada 2021 launch MSRP, 3.5T Prestige (later MY higher)</t>
        </is>
      </c>
      <c r="H39" s="16" t="n">
        <v>38752</v>
      </c>
      <c r="I39" s="17">
        <f>E39-F39</f>
        <v/>
      </c>
      <c r="J39" s="9" t="inlineStr">
        <is>
          <t>unknown / 7 seats / white</t>
        </is>
      </c>
      <c r="K39" s="8" t="inlineStr">
        <is>
          <t>Ontario dealer</t>
        </is>
      </c>
      <c r="L39" s="18">
        <f>HYPERLINK("https://www.autotrader.ca/offers/genesis-gv80-3-5t-prestige-awd-7p-luxury-vehicle-with-low-km-gasoline-white-cat_ma51885gr200589va3473mt14077tr481244-e3faadfa-e42d-4142-a181-9122531dbaf8","open")</f>
        <v/>
      </c>
      <c r="M39" s="8" t="inlineStr">
        <is>
          <t>Genesis scan 09-01</t>
        </is>
      </c>
    </row>
    <row r="40">
      <c r="A40" s="8" t="inlineStr">
        <is>
          <t>Genesis</t>
        </is>
      </c>
      <c r="B40" s="8" t="inlineStr">
        <is>
          <t>GV80</t>
        </is>
      </c>
      <c r="C40" s="9" t="inlineStr">
        <is>
          <t>3.5T Prestige AWD 7P</t>
        </is>
      </c>
      <c r="D40" s="8" t="n">
        <v>2025</v>
      </c>
      <c r="E40" s="10" t="n">
        <v>66900</v>
      </c>
      <c r="F40" s="10" t="n">
        <v>85000</v>
      </c>
      <c r="G40" s="9" t="inlineStr">
        <is>
          <t>Genesis Canada 2021 launch MSRP, 3.5T Prestige (later MY higher)</t>
        </is>
      </c>
      <c r="H40" s="16" t="n">
        <v>29500</v>
      </c>
      <c r="I40" s="17">
        <f>E40-F40</f>
        <v/>
      </c>
      <c r="J40" s="9" t="inlineStr">
        <is>
          <t>unknown / 7 seats / black</t>
        </is>
      </c>
      <c r="K40" s="8" t="inlineStr">
        <is>
          <t>Ontario dealer</t>
        </is>
      </c>
      <c r="L40" s="18">
        <f>HYPERLINK("https://www.autotrader.ca/offers/genesis-gv80-3-5t-prestige-awd-7p-gasoline-black-cat_ma51885gr200589va3473mt14077tr481244-9e359716-e29a-4e59-bfa8-3dc0eedd24f1","open")</f>
        <v/>
      </c>
      <c r="M40" s="8" t="inlineStr">
        <is>
          <t>Genesis scan 09-01</t>
        </is>
      </c>
    </row>
    <row r="41">
      <c r="A41" s="8" t="inlineStr">
        <is>
          <t>Genesis</t>
        </is>
      </c>
      <c r="B41" s="8" t="inlineStr">
        <is>
          <t>GV80</t>
        </is>
      </c>
      <c r="C41" s="9" t="inlineStr">
        <is>
          <t>3.5T Prestige AWD 5P, matte paint</t>
        </is>
      </c>
      <c r="D41" s="8" t="n">
        <v>2024</v>
      </c>
      <c r="E41" s="10" t="n">
        <v>68888</v>
      </c>
      <c r="F41" s="10" t="n">
        <v>85000</v>
      </c>
      <c r="G41" s="9" t="inlineStr">
        <is>
          <t>Genesis Canada 2021 launch MSRP, 3.5T Prestige (later MY higher)</t>
        </is>
      </c>
      <c r="H41" s="16" t="n">
        <v>12333</v>
      </c>
      <c r="I41" s="17">
        <f>E41-F41</f>
        <v/>
      </c>
      <c r="J41" s="9" t="inlineStr">
        <is>
          <t>unknown / 5 seats / n/a</t>
        </is>
      </c>
      <c r="K41" s="8" t="inlineStr">
        <is>
          <t>Ontario dealer</t>
        </is>
      </c>
      <c r="L41" s="18">
        <f>HYPERLINK("https://www.autotrader.ca/offers/genesis-gv80-3-5t-prestige-awd-5p-w-matte-paint-gasoline-cat_ma51885gr200589va3473mt14077tr481244-7bab91cb-14c0-46f8-aa49-e88f52fac617","open")</f>
        <v/>
      </c>
      <c r="M41" s="8" t="inlineStr">
        <is>
          <t>Genesis scan 09-01</t>
        </is>
      </c>
    </row>
    <row r="42">
      <c r="A42" s="8" t="inlineStr">
        <is>
          <t>Genesis</t>
        </is>
      </c>
      <c r="B42" s="8" t="inlineStr">
        <is>
          <t>GV80</t>
        </is>
      </c>
      <c r="C42" s="9" t="inlineStr">
        <is>
          <t>3.5T Prestige AWD 7P Low Km</t>
        </is>
      </c>
      <c r="D42" s="8" t="n">
        <v>2025</v>
      </c>
      <c r="E42" s="10" t="n">
        <v>76697</v>
      </c>
      <c r="F42" s="10" t="n">
        <v>85000</v>
      </c>
      <c r="G42" s="9" t="inlineStr">
        <is>
          <t>Genesis Canada 2021 launch MSRP, 3.5T Prestige (later MY higher)</t>
        </is>
      </c>
      <c r="H42" s="16" t="n">
        <v>28033</v>
      </c>
      <c r="I42" s="17">
        <f>E42-F42</f>
        <v/>
      </c>
      <c r="J42" s="9" t="inlineStr">
        <is>
          <t>unknown / 7 seats / white</t>
        </is>
      </c>
      <c r="K42" s="8" t="inlineStr">
        <is>
          <t>Ontario dealer</t>
        </is>
      </c>
      <c r="L42" s="18">
        <f>HYPERLINK("https://www.autotrader.ca/offers/genesis-gv80-3-5t-prestige-awd-7p-low-km-premium-nappa-leathe-gasoline-white-cat_ma51885gr200589va3473mt14077tr481244-834b314f-7656-4235-a787-56ddb7012291","open")</f>
        <v/>
      </c>
      <c r="M42" s="8" t="inlineStr">
        <is>
          <t>Genesis scan 09-01</t>
        </is>
      </c>
    </row>
    <row r="43">
      <c r="A43" s="8" t="inlineStr">
        <is>
          <t>Genesis</t>
        </is>
      </c>
      <c r="B43" s="8" t="inlineStr">
        <is>
          <t>GV80</t>
        </is>
      </c>
      <c r="C43" s="9" t="inlineStr">
        <is>
          <t>3.5T Advanced 7-seat</t>
        </is>
      </c>
      <c r="D43" s="8" t="n">
        <v>2025</v>
      </c>
      <c r="E43" s="10" t="n">
        <v>78880</v>
      </c>
      <c r="F43" s="10" t="n">
        <v>80000</v>
      </c>
      <c r="G43" s="9" t="inlineStr">
        <is>
          <t>Genesis Canada 2021 launch MSRP, 3.5T Advanced</t>
        </is>
      </c>
      <c r="H43" s="16" t="n">
        <v>8235</v>
      </c>
      <c r="I43" s="17">
        <f>E43-F43</f>
        <v/>
      </c>
      <c r="J43" s="9" t="inlineStr">
        <is>
          <t>unknown / 7 seats / green</t>
        </is>
      </c>
      <c r="K43" s="8" t="inlineStr">
        <is>
          <t>Ontario dealer</t>
        </is>
      </c>
      <c r="L43" s="18">
        <f>HYPERLINK("https://www.autotrader.ca/offers/genesis-gv80-3-5t-advanced-gasoline-green-cat_ma51885gr200589va3473mt14077tr481244-3a4ee43f-b6d4-489e-87c6-359802ce7d0f","open")</f>
        <v/>
      </c>
      <c r="M43" s="8" t="inlineStr">
        <is>
          <t>Genesis scan 09-01</t>
        </is>
      </c>
    </row>
    <row r="44">
      <c r="A44" s="8" t="inlineStr">
        <is>
          <t>Genesis</t>
        </is>
      </c>
      <c r="B44" s="8" t="inlineStr">
        <is>
          <t>GV80</t>
        </is>
      </c>
      <c r="C44" s="9" t="inlineStr">
        <is>
          <t>3.5T Prestige Luxury AWD 7P</t>
        </is>
      </c>
      <c r="D44" s="8" t="n">
        <v>2025</v>
      </c>
      <c r="E44" s="10" t="n">
        <v>84995</v>
      </c>
      <c r="F44" s="10" t="n">
        <v>85000</v>
      </c>
      <c r="G44" s="9" t="inlineStr">
        <is>
          <t>Genesis Canada 2021 launch MSRP, 3.5T Prestige (later MY higher)</t>
        </is>
      </c>
      <c r="H44" s="16" t="n">
        <v>1300</v>
      </c>
      <c r="I44" s="17">
        <f>E44-F44</f>
        <v/>
      </c>
      <c r="J44" s="9" t="inlineStr">
        <is>
          <t>independent / 7 seats / white / VERIFY BEFORE YOU GO</t>
        </is>
      </c>
      <c r="K44" s="8" t="inlineStr">
        <is>
          <t>Manaf Auto Sales, Concord</t>
        </is>
      </c>
      <c r="L44" s="18">
        <f>HYPERLINK("https://www.autotrader.ca/offers/genesis-gv80-3-5t-prestige-luxury-awd-7-passengers-gasoline-white-cat_ma51885gr200589va3473mt14077tr481244-11e6cc7d-ab85-4f20-8421-4b67f50b4cf9","open")</f>
        <v/>
      </c>
      <c r="M44" s="8" t="inlineStr">
        <is>
          <t>Genesis scan 09-01</t>
        </is>
      </c>
    </row>
    <row r="45">
      <c r="A45" s="8" t="inlineStr">
        <is>
          <t>Genesis</t>
        </is>
      </c>
      <c r="B45" s="8" t="inlineStr">
        <is>
          <t>GV80</t>
        </is>
      </c>
      <c r="C45" s="9" t="inlineStr">
        <is>
          <t>7-Passenger, top trim</t>
        </is>
      </c>
      <c r="D45" s="8" t="n">
        <v>2026</v>
      </c>
      <c r="E45" s="10" t="n">
        <v>87995</v>
      </c>
      <c r="F45" s="10" t="n">
        <v>80000</v>
      </c>
      <c r="G45" s="9" t="inlineStr">
        <is>
          <t>Genesis Canada 2021 launch MSRP, 3.5T Advanced</t>
        </is>
      </c>
      <c r="H45" s="16" t="n">
        <v>5161</v>
      </c>
      <c r="I45" s="17">
        <f>E45-F45</f>
        <v/>
      </c>
      <c r="J45" s="9" t="inlineStr">
        <is>
          <t>franchise / 7 seats / silver</t>
        </is>
      </c>
      <c r="K45" s="8" t="inlineStr">
        <is>
          <t>Genesis Brampton</t>
        </is>
      </c>
      <c r="L45" s="18">
        <f>HYPERLINK("https://www.autotrader.ca/offers/genesis-gv80-7-passenger-top-of-the-line-only-5k-gasoline-silver-cat_ma51885gr200589va3473mt14077tr481244-a93a3be7-28ac-4bbc-b830-eb8a1c581261","open")</f>
        <v/>
      </c>
      <c r="M45" s="8" t="inlineStr">
        <is>
          <t>Genesis scan 09-01</t>
        </is>
      </c>
    </row>
    <row r="46">
      <c r="A46" s="8" t="inlineStr">
        <is>
          <t>Genesis</t>
        </is>
      </c>
      <c r="B46" s="8" t="inlineStr">
        <is>
          <t>GV80</t>
        </is>
      </c>
      <c r="C46" s="9" t="inlineStr">
        <is>
          <t>3.5T Prestige 7P, BLUE ON BROWN</t>
        </is>
      </c>
      <c r="D46" s="8" t="n">
        <v>2026</v>
      </c>
      <c r="E46" s="10" t="n">
        <v>89999</v>
      </c>
      <c r="F46" s="10" t="n">
        <v>85000</v>
      </c>
      <c r="G46" s="9" t="inlineStr">
        <is>
          <t>Genesis Canada 2021 launch MSRP, 3.5T Prestige (later MY higher)</t>
        </is>
      </c>
      <c r="H46" s="16" t="n">
        <v>2221</v>
      </c>
      <c r="I46" s="17">
        <f>E46-F46</f>
        <v/>
      </c>
      <c r="J46" s="9" t="inlineStr">
        <is>
          <t>independent / 7 seats / blue / VERIFY BEFORE YOU GO</t>
        </is>
      </c>
      <c r="K46" s="8" t="inlineStr">
        <is>
          <t>Peninsula Automotive, Burlington</t>
        </is>
      </c>
      <c r="L46" s="18">
        <f>HYPERLINK("https://www.autotrader.ca/offers/genesis-gv80-3-5t-prestige-7-passenger-blue-on-brown-gasoline-blue-cat_ma51885gr200589va3473mt14077tr481244-d560f112-cc57-4b33-bdea-dd66daf60e1b","open")</f>
        <v/>
      </c>
      <c r="M46" s="8" t="inlineStr">
        <is>
          <t>Genesis scan 09-01</t>
        </is>
      </c>
    </row>
    <row r="47">
      <c r="A47" s="8" t="inlineStr">
        <is>
          <t>Genesis</t>
        </is>
      </c>
      <c r="B47" s="8" t="inlineStr">
        <is>
          <t>GV80</t>
        </is>
      </c>
      <c r="C47" s="9" t="inlineStr">
        <is>
          <t>Black Edition 7P</t>
        </is>
      </c>
      <c r="D47" s="8" t="n">
        <v>2026</v>
      </c>
      <c r="E47" s="10" t="n">
        <v>92995</v>
      </c>
      <c r="F47" s="10" t="n">
        <v>80000</v>
      </c>
      <c r="G47" s="9" t="inlineStr">
        <is>
          <t>Genesis Canada 2021 launch MSRP, 3.5T Advanced</t>
        </is>
      </c>
      <c r="H47" s="16" t="n">
        <v>4463</v>
      </c>
      <c r="I47" s="17">
        <f>E47-F47</f>
        <v/>
      </c>
      <c r="J47" s="9" t="inlineStr">
        <is>
          <t>franchise / 7 seats / black</t>
        </is>
      </c>
      <c r="K47" s="8" t="inlineStr">
        <is>
          <t>Genesis Kitchener Waterloo</t>
        </is>
      </c>
      <c r="L47" s="18">
        <f>HYPERLINK("https://www.autotrader.ca/offers/genesis-gv80-black-edition-7-passenger-one-owner-near-new-gasoline-black-cat_ma51885gr200589va3473mt14077tr481250-aa2aee85-bd30-4430-a6da-a6111678fda2","open")</f>
        <v/>
      </c>
      <c r="M47" s="8" t="inlineStr">
        <is>
          <t>Genesis scan 09-01</t>
        </is>
      </c>
    </row>
    <row r="48">
      <c r="A48" s="8" t="inlineStr">
        <is>
          <t>Hyundai</t>
        </is>
      </c>
      <c r="B48" s="8" t="inlineStr">
        <is>
          <t>Palisade</t>
        </is>
      </c>
      <c r="C48" s="9" t="inlineStr">
        <is>
          <t>Essential</t>
        </is>
      </c>
      <c r="D48" s="8" t="n">
        <v>2022</v>
      </c>
      <c r="E48" s="10" t="n">
        <v>26290</v>
      </c>
      <c r="F48" s="10" t="n">
        <v>41199</v>
      </c>
      <c r="G48" s="9" t="inlineStr">
        <is>
          <t>Hyundai Canada 2021 MSRP, Essential AWD</t>
        </is>
      </c>
      <c r="H48" s="16" t="n">
        <v>99408</v>
      </c>
      <c r="I48" s="17">
        <f>E48-F48</f>
        <v/>
      </c>
      <c r="J48" s="9" t="inlineStr">
        <is>
          <t>Clutch.ca - no doc/admin fees / 7 seats / NOT premium / no pano</t>
        </is>
      </c>
      <c r="K48" s="8" t="inlineStr">
        <is>
          <t>Clutch.ca</t>
        </is>
      </c>
      <c r="L48" s="18">
        <f>HYPERLINK("https://www.clutch.ca/vehicles/115325","open")</f>
        <v/>
      </c>
      <c r="M48" s="8" t="inlineStr">
        <is>
          <t>Clutch.ca scan 09-01</t>
        </is>
      </c>
    </row>
    <row r="49">
      <c r="A49" s="8" t="inlineStr">
        <is>
          <t>Hyundai</t>
        </is>
      </c>
      <c r="B49" s="8" t="inlineStr">
        <is>
          <t>Palisade</t>
        </is>
      </c>
      <c r="C49" s="9" t="inlineStr">
        <is>
          <t>Preferred 8-Pass</t>
        </is>
      </c>
      <c r="D49" s="8" t="n">
        <v>2022</v>
      </c>
      <c r="E49" s="10" t="n">
        <v>27790</v>
      </c>
      <c r="F49" s="10" t="n">
        <v>46199</v>
      </c>
      <c r="G49" s="9" t="inlineStr">
        <is>
          <t>Hyundai Canada 2021 MSRP, Preferred</t>
        </is>
      </c>
      <c r="H49" s="16" t="n">
        <v>90218</v>
      </c>
      <c r="I49" s="17">
        <f>E49-F49</f>
        <v/>
      </c>
      <c r="J49" s="9" t="inlineStr">
        <is>
          <t>Clutch.ca - no doc/admin fees / 8 seats / NOT premium / no pano</t>
        </is>
      </c>
      <c r="K49" s="8" t="inlineStr">
        <is>
          <t>Clutch.ca</t>
        </is>
      </c>
      <c r="L49" s="18">
        <f>HYPERLINK("https://www.clutch.ca/vehicles/125668","open")</f>
        <v/>
      </c>
      <c r="M49" s="8" t="inlineStr">
        <is>
          <t>Clutch.ca scan 09-01</t>
        </is>
      </c>
    </row>
    <row r="50">
      <c r="A50" s="8" t="inlineStr">
        <is>
          <t>Hyundai</t>
        </is>
      </c>
      <c r="B50" s="8" t="inlineStr">
        <is>
          <t>Palisade</t>
        </is>
      </c>
      <c r="C50" s="9" t="inlineStr">
        <is>
          <t>Luxury 7-Pass</t>
        </is>
      </c>
      <c r="D50" s="8" t="n">
        <v>2022</v>
      </c>
      <c r="E50" s="10" t="n">
        <v>34290</v>
      </c>
      <c r="F50" s="10" t="n">
        <v>50899</v>
      </c>
      <c r="G50" s="9" t="inlineStr">
        <is>
          <t>Hyundai Canada 2021 MSRP, Luxury 7-Pass</t>
        </is>
      </c>
      <c r="H50" s="16" t="n">
        <v>60000</v>
      </c>
      <c r="I50" s="17">
        <f>E50-F50</f>
        <v/>
      </c>
      <c r="J50" s="9" t="inlineStr">
        <is>
          <t>Clutch.ca - no doc/admin fees / 7 seats / NOT premium / pano</t>
        </is>
      </c>
      <c r="K50" s="8" t="inlineStr">
        <is>
          <t>Clutch.ca</t>
        </is>
      </c>
      <c r="L50" s="18">
        <f>HYPERLINK("https://www.clutch.ca/vehicles/122156","open")</f>
        <v/>
      </c>
      <c r="M50" s="8" t="inlineStr">
        <is>
          <t>Clutch.ca scan 09-01</t>
        </is>
      </c>
    </row>
    <row r="51">
      <c r="A51" s="8" t="inlineStr">
        <is>
          <t>Hyundai</t>
        </is>
      </c>
      <c r="B51" s="8" t="inlineStr">
        <is>
          <t>Palisade</t>
        </is>
      </c>
      <c r="C51" s="9" t="inlineStr">
        <is>
          <t>Ultimate Calligraphy</t>
        </is>
      </c>
      <c r="D51" s="8" t="n">
        <v>2022</v>
      </c>
      <c r="E51" s="10" t="n">
        <v>34590</v>
      </c>
      <c r="F51" s="10" t="n">
        <v>54699</v>
      </c>
      <c r="G51" s="9" t="inlineStr">
        <is>
          <t>Hyundai Canada 2021 MSRP, Ultimate Calligraphy (Urban = Calligraphy-based)</t>
        </is>
      </c>
      <c r="H51" s="16" t="n">
        <v>97500</v>
      </c>
      <c r="I51" s="17">
        <f>E51-F51</f>
        <v/>
      </c>
      <c r="J51" s="9" t="inlineStr">
        <is>
          <t>Clutch.ca - no doc/admin fees / 7 seats / premium trim / pano</t>
        </is>
      </c>
      <c r="K51" s="8" t="inlineStr">
        <is>
          <t>Clutch.ca</t>
        </is>
      </c>
      <c r="L51" s="18">
        <f>HYPERLINK("https://www.clutch.ca/vehicles/124294","open")</f>
        <v/>
      </c>
      <c r="M51" s="8" t="inlineStr">
        <is>
          <t>Clutch.ca scan 09-01</t>
        </is>
      </c>
    </row>
    <row r="52">
      <c r="A52" s="8" t="inlineStr">
        <is>
          <t>Hyundai</t>
        </is>
      </c>
      <c r="B52" s="8" t="inlineStr">
        <is>
          <t>Palisade</t>
        </is>
      </c>
      <c r="C52" s="9" t="inlineStr">
        <is>
          <t>Ultimate Calligraphy</t>
        </is>
      </c>
      <c r="D52" s="8" t="n">
        <v>2022</v>
      </c>
      <c r="E52" s="10" t="n">
        <v>35290</v>
      </c>
      <c r="F52" s="10" t="n">
        <v>54699</v>
      </c>
      <c r="G52" s="9" t="inlineStr">
        <is>
          <t>Hyundai Canada 2021 MSRP, Ultimate Calligraphy (Urban = Calligraphy-based)</t>
        </is>
      </c>
      <c r="H52" s="16" t="n">
        <v>49869</v>
      </c>
      <c r="I52" s="17">
        <f>E52-F52</f>
        <v/>
      </c>
      <c r="J52" s="9" t="inlineStr">
        <is>
          <t>Clutch.ca - no doc/admin fees / 7 seats / premium trim / pano</t>
        </is>
      </c>
      <c r="K52" s="8" t="inlineStr">
        <is>
          <t>Clutch.ca</t>
        </is>
      </c>
      <c r="L52" s="18">
        <f>HYPERLINK("https://www.clutch.ca/vehicles/105130","open")</f>
        <v/>
      </c>
      <c r="M52" s="8" t="inlineStr">
        <is>
          <t>Clutch.ca scan 09-01</t>
        </is>
      </c>
    </row>
    <row r="53">
      <c r="A53" s="8" t="inlineStr">
        <is>
          <t>Hyundai</t>
        </is>
      </c>
      <c r="B53" s="8" t="inlineStr">
        <is>
          <t>Palisade</t>
        </is>
      </c>
      <c r="C53" s="9" t="inlineStr">
        <is>
          <t>Ultimate Calligraphy 7-Pass</t>
        </is>
      </c>
      <c r="D53" s="8" t="n">
        <v>2023</v>
      </c>
      <c r="E53" s="10" t="n">
        <v>37290</v>
      </c>
      <c r="F53" s="10" t="n">
        <v>54699</v>
      </c>
      <c r="G53" s="9" t="inlineStr">
        <is>
          <t>Hyundai Canada 2021 MSRP, Ultimate Calligraphy (Urban = Calligraphy-based)</t>
        </is>
      </c>
      <c r="H53" s="16" t="n">
        <v>76596</v>
      </c>
      <c r="I53" s="17">
        <f>E53-F53</f>
        <v/>
      </c>
      <c r="J53" s="9" t="inlineStr">
        <is>
          <t>Clutch.ca - no doc/admin fees / 7 seats / premium trim / pano</t>
        </is>
      </c>
      <c r="K53" s="8" t="inlineStr">
        <is>
          <t>Clutch.ca</t>
        </is>
      </c>
      <c r="L53" s="18">
        <f>HYPERLINK("https://www.clutch.ca/vehicles/119257","open")</f>
        <v/>
      </c>
      <c r="M53" s="8" t="inlineStr">
        <is>
          <t>Clutch.ca scan 09-01</t>
        </is>
      </c>
    </row>
    <row r="54">
      <c r="A54" s="8" t="inlineStr">
        <is>
          <t>Hyundai</t>
        </is>
      </c>
      <c r="B54" s="8" t="inlineStr">
        <is>
          <t>Palisade</t>
        </is>
      </c>
      <c r="C54" s="9" t="inlineStr">
        <is>
          <t>Ultimate Calligraphy</t>
        </is>
      </c>
      <c r="D54" s="8" t="n">
        <v>2022</v>
      </c>
      <c r="E54" s="10" t="n">
        <v>38790</v>
      </c>
      <c r="F54" s="10" t="n">
        <v>54699</v>
      </c>
      <c r="G54" s="9" t="inlineStr">
        <is>
          <t>Hyundai Canada 2021 MSRP, Ultimate Calligraphy (Urban = Calligraphy-based)</t>
        </is>
      </c>
      <c r="H54" s="16" t="n">
        <v>44700</v>
      </c>
      <c r="I54" s="17">
        <f>E54-F54</f>
        <v/>
      </c>
      <c r="J54" s="9" t="inlineStr">
        <is>
          <t>Clutch.ca - no doc/admin fees / 7 seats / premium trim / pano</t>
        </is>
      </c>
      <c r="K54" s="8" t="inlineStr">
        <is>
          <t>Clutch.ca</t>
        </is>
      </c>
      <c r="L54" s="18">
        <f>HYPERLINK("https://www.clutch.ca/vehicles/124480","open")</f>
        <v/>
      </c>
      <c r="M54" s="8" t="inlineStr">
        <is>
          <t>Clutch.ca scan 09-01</t>
        </is>
      </c>
    </row>
    <row r="55">
      <c r="A55" s="8" t="inlineStr">
        <is>
          <t>Hyundai</t>
        </is>
      </c>
      <c r="B55" s="8" t="inlineStr">
        <is>
          <t>Palisade</t>
        </is>
      </c>
      <c r="C55" s="9" t="inlineStr">
        <is>
          <t>Urban 8-Pass</t>
        </is>
      </c>
      <c r="D55" s="8" t="n">
        <v>2023</v>
      </c>
      <c r="E55" s="10" t="n">
        <v>38990</v>
      </c>
      <c r="F55" s="10" t="n">
        <v>54699</v>
      </c>
      <c r="G55" s="9" t="inlineStr">
        <is>
          <t>Hyundai Canada 2021 MSRP, Ultimate Calligraphy (Urban = Calligraphy-based)</t>
        </is>
      </c>
      <c r="H55" s="16" t="n">
        <v>74360</v>
      </c>
      <c r="I55" s="17">
        <f>E55-F55</f>
        <v/>
      </c>
      <c r="J55" s="9" t="inlineStr">
        <is>
          <t>Clutch.ca - no doc/admin fees / 8 seats / premium trim / pano</t>
        </is>
      </c>
      <c r="K55" s="8" t="inlineStr">
        <is>
          <t>Clutch.ca</t>
        </is>
      </c>
      <c r="L55" s="18">
        <f>HYPERLINK("https://www.clutch.ca/vehicles/107167","open")</f>
        <v/>
      </c>
      <c r="M55" s="8" t="inlineStr">
        <is>
          <t>Clutch.ca scan 09-01</t>
        </is>
      </c>
    </row>
    <row r="56">
      <c r="A56" s="8" t="inlineStr">
        <is>
          <t>Hyundai</t>
        </is>
      </c>
      <c r="B56" s="8" t="inlineStr">
        <is>
          <t>Palisade</t>
        </is>
      </c>
      <c r="C56" s="9" t="inlineStr">
        <is>
          <t>Urban 7-Pass</t>
        </is>
      </c>
      <c r="D56" s="8" t="n">
        <v>2023</v>
      </c>
      <c r="E56" s="10" t="n">
        <v>39190</v>
      </c>
      <c r="F56" s="10" t="n">
        <v>54699</v>
      </c>
      <c r="G56" s="9" t="inlineStr">
        <is>
          <t>Hyundai Canada 2021 MSRP, Ultimate Calligraphy (Urban = Calligraphy-based)</t>
        </is>
      </c>
      <c r="H56" s="16" t="n">
        <v>63787</v>
      </c>
      <c r="I56" s="17">
        <f>E56-F56</f>
        <v/>
      </c>
      <c r="J56" s="9" t="inlineStr">
        <is>
          <t>Clutch.ca - no doc/admin fees / 7 seats / premium trim / pano</t>
        </is>
      </c>
      <c r="K56" s="8" t="inlineStr">
        <is>
          <t>Clutch.ca</t>
        </is>
      </c>
      <c r="L56" s="18">
        <f>HYPERLINK("https://www.clutch.ca/vehicles/115494","open")</f>
        <v/>
      </c>
      <c r="M56" s="8" t="inlineStr">
        <is>
          <t>Clutch.ca scan 09-01</t>
        </is>
      </c>
    </row>
    <row r="57">
      <c r="A57" s="8" t="inlineStr">
        <is>
          <t>Hyundai</t>
        </is>
      </c>
      <c r="B57" s="8" t="inlineStr">
        <is>
          <t>Palisade</t>
        </is>
      </c>
      <c r="C57" s="9" t="inlineStr">
        <is>
          <t>Ultimate Calligraphy</t>
        </is>
      </c>
      <c r="D57" s="8" t="n">
        <v>2022</v>
      </c>
      <c r="E57" s="10" t="n">
        <v>39790</v>
      </c>
      <c r="F57" s="10" t="n">
        <v>54699</v>
      </c>
      <c r="G57" s="9" t="inlineStr">
        <is>
          <t>Hyundai Canada 2021 MSRP, Ultimate Calligraphy (Urban = Calligraphy-based)</t>
        </is>
      </c>
      <c r="H57" s="16" t="n">
        <v>26587</v>
      </c>
      <c r="I57" s="17">
        <f>E57-F57</f>
        <v/>
      </c>
      <c r="J57" s="9" t="inlineStr">
        <is>
          <t>Clutch.ca - no doc/admin fees / 7 seats / premium trim / pano</t>
        </is>
      </c>
      <c r="K57" s="8" t="inlineStr">
        <is>
          <t>Clutch.ca</t>
        </is>
      </c>
      <c r="L57" s="18">
        <f>HYPERLINK("https://www.clutch.ca/vehicles/120477","open")</f>
        <v/>
      </c>
      <c r="M57" s="8" t="inlineStr">
        <is>
          <t>Clutch.ca scan 09-01</t>
        </is>
      </c>
    </row>
    <row r="58">
      <c r="A58" s="8" t="inlineStr">
        <is>
          <t>Hyundai</t>
        </is>
      </c>
      <c r="B58" s="8" t="inlineStr">
        <is>
          <t>Palisade</t>
        </is>
      </c>
      <c r="C58" s="9" t="inlineStr">
        <is>
          <t>Ultimate Calligraphy 7-Pass</t>
        </is>
      </c>
      <c r="D58" s="8" t="n">
        <v>2024</v>
      </c>
      <c r="E58" s="10" t="n">
        <v>40690</v>
      </c>
      <c r="F58" s="10" t="n">
        <v>54699</v>
      </c>
      <c r="G58" s="9" t="inlineStr">
        <is>
          <t>Hyundai Canada 2021 MSRP, Ultimate Calligraphy (Urban = Calligraphy-based)</t>
        </is>
      </c>
      <c r="H58" s="16" t="n">
        <v>95731</v>
      </c>
      <c r="I58" s="17">
        <f>E58-F58</f>
        <v/>
      </c>
      <c r="J58" s="9" t="inlineStr">
        <is>
          <t>Clutch.ca - no doc/admin fees / 7 seats / premium trim / pano</t>
        </is>
      </c>
      <c r="K58" s="8" t="inlineStr">
        <is>
          <t>Clutch.ca</t>
        </is>
      </c>
      <c r="L58" s="18">
        <f>HYPERLINK("https://www.clutch.ca/vehicles/116232","open")</f>
        <v/>
      </c>
      <c r="M58" s="8" t="inlineStr">
        <is>
          <t>Clutch.ca scan 09-01</t>
        </is>
      </c>
    </row>
    <row r="59">
      <c r="A59" s="8" t="inlineStr">
        <is>
          <t>Hyundai</t>
        </is>
      </c>
      <c r="B59" s="8" t="inlineStr">
        <is>
          <t>Palisade</t>
        </is>
      </c>
      <c r="C59" s="9" t="inlineStr">
        <is>
          <t>Ultimate Calligraphy 7-Pass</t>
        </is>
      </c>
      <c r="D59" s="8" t="n">
        <v>2024</v>
      </c>
      <c r="E59" s="10" t="n">
        <v>42790</v>
      </c>
      <c r="F59" s="10" t="n">
        <v>54699</v>
      </c>
      <c r="G59" s="9" t="inlineStr">
        <is>
          <t>Hyundai Canada 2021 MSRP, Ultimate Calligraphy (Urban = Calligraphy-based)</t>
        </is>
      </c>
      <c r="H59" s="16" t="n">
        <v>76723</v>
      </c>
      <c r="I59" s="17">
        <f>E59-F59</f>
        <v/>
      </c>
      <c r="J59" s="9" t="inlineStr">
        <is>
          <t>Clutch.ca - no doc/admin fees / 7 seats / premium trim / pano</t>
        </is>
      </c>
      <c r="K59" s="8" t="inlineStr">
        <is>
          <t>Clutch.ca</t>
        </is>
      </c>
      <c r="L59" s="18">
        <f>HYPERLINK("https://www.clutch.ca/vehicles/121535","open")</f>
        <v/>
      </c>
      <c r="M59" s="8" t="inlineStr">
        <is>
          <t>Clutch.ca scan 09-01</t>
        </is>
      </c>
    </row>
    <row r="60">
      <c r="A60" s="8" t="inlineStr">
        <is>
          <t>Hyundai</t>
        </is>
      </c>
      <c r="B60" s="8" t="inlineStr">
        <is>
          <t>Palisade</t>
        </is>
      </c>
      <c r="C60" s="9" t="inlineStr">
        <is>
          <t>Ultimate Calligraphy 7-Pass</t>
        </is>
      </c>
      <c r="D60" s="8" t="n">
        <v>2023</v>
      </c>
      <c r="E60" s="10" t="n">
        <v>43490</v>
      </c>
      <c r="F60" s="10" t="n">
        <v>54699</v>
      </c>
      <c r="G60" s="9" t="inlineStr">
        <is>
          <t>Hyundai Canada 2021 MSRP, Ultimate Calligraphy (Urban = Calligraphy-based)</t>
        </is>
      </c>
      <c r="H60" s="16" t="n">
        <v>42172</v>
      </c>
      <c r="I60" s="17">
        <f>E60-F60</f>
        <v/>
      </c>
      <c r="J60" s="9" t="inlineStr">
        <is>
          <t>Clutch.ca - no doc/admin fees / 7 seats / premium trim / pano</t>
        </is>
      </c>
      <c r="K60" s="8" t="inlineStr">
        <is>
          <t>Clutch.ca</t>
        </is>
      </c>
      <c r="L60" s="18">
        <f>HYPERLINK("https://www.clutch.ca/vehicles/120113","open")</f>
        <v/>
      </c>
      <c r="M60" s="8" t="inlineStr">
        <is>
          <t>Clutch.ca scan 09-01</t>
        </is>
      </c>
    </row>
    <row r="61">
      <c r="A61" s="8" t="inlineStr">
        <is>
          <t>Hyundai</t>
        </is>
      </c>
      <c r="B61" s="8" t="inlineStr">
        <is>
          <t>Palisade</t>
        </is>
      </c>
      <c r="C61" s="9" t="inlineStr">
        <is>
          <t>Ultimate Calligraphy 7-Pass</t>
        </is>
      </c>
      <c r="D61" s="8" t="n">
        <v>2024</v>
      </c>
      <c r="E61" s="10" t="n">
        <v>44190</v>
      </c>
      <c r="F61" s="10" t="n">
        <v>54699</v>
      </c>
      <c r="G61" s="9" t="inlineStr">
        <is>
          <t>Hyundai Canada 2021 MSRP, Ultimate Calligraphy (Urban = Calligraphy-based)</t>
        </is>
      </c>
      <c r="H61" s="16" t="n">
        <v>39349</v>
      </c>
      <c r="I61" s="17">
        <f>E61-F61</f>
        <v/>
      </c>
      <c r="J61" s="9" t="inlineStr">
        <is>
          <t>Clutch.ca - no doc/admin fees / 7 seats / premium trim / pano</t>
        </is>
      </c>
      <c r="K61" s="8" t="inlineStr">
        <is>
          <t>Clutch.ca</t>
        </is>
      </c>
      <c r="L61" s="18">
        <f>HYPERLINK("https://www.clutch.ca/vehicles/118256","open")</f>
        <v/>
      </c>
      <c r="M61" s="8" t="inlineStr">
        <is>
          <t>Clutch.ca scan 09-01</t>
        </is>
      </c>
    </row>
    <row r="62">
      <c r="A62" s="8" t="inlineStr">
        <is>
          <t>Hyundai</t>
        </is>
      </c>
      <c r="B62" s="8" t="inlineStr">
        <is>
          <t>Palisade</t>
        </is>
      </c>
      <c r="C62" s="9" t="inlineStr">
        <is>
          <t>Ultimate Calligraphy Night 7-Pass</t>
        </is>
      </c>
      <c r="D62" s="8" t="n">
        <v>2025</v>
      </c>
      <c r="E62" s="10" t="n">
        <v>47590</v>
      </c>
      <c r="F62" s="10" t="n">
        <v>54699</v>
      </c>
      <c r="G62" s="9" t="inlineStr">
        <is>
          <t>Hyundai Canada 2021 MSRP, Ultimate Calligraphy (Urban = Calligraphy-based)</t>
        </is>
      </c>
      <c r="H62" s="16" t="n">
        <v>49000</v>
      </c>
      <c r="I62" s="17">
        <f>E62-F62</f>
        <v/>
      </c>
      <c r="J62" s="9" t="inlineStr">
        <is>
          <t>Clutch.ca - no doc/admin fees / 7 seats / premium trim / pano</t>
        </is>
      </c>
      <c r="K62" s="8" t="inlineStr">
        <is>
          <t>Clutch.ca</t>
        </is>
      </c>
      <c r="L62" s="18">
        <f>HYPERLINK("https://www.clutch.ca/vehicles/122085","open")</f>
        <v/>
      </c>
      <c r="M62" s="8" t="inlineStr">
        <is>
          <t>Clutch.ca scan 09-01</t>
        </is>
      </c>
    </row>
    <row r="63">
      <c r="A63" s="8" t="inlineStr">
        <is>
          <t>Hyundai</t>
        </is>
      </c>
      <c r="B63" s="8" t="inlineStr">
        <is>
          <t>Palisade</t>
        </is>
      </c>
      <c r="C63" s="9" t="inlineStr">
        <is>
          <t>Ultimate Calligraphy 7-Pass</t>
        </is>
      </c>
      <c r="D63" s="8" t="n">
        <v>2024</v>
      </c>
      <c r="E63" s="10" t="n">
        <v>47604</v>
      </c>
      <c r="F63" s="10" t="n">
        <v>54699</v>
      </c>
      <c r="G63" s="9" t="inlineStr">
        <is>
          <t>Hyundai Canada 2021 MSRP, Ultimate Calligraphy (Urban = Calligraphy-based)</t>
        </is>
      </c>
      <c r="H63" s="16" t="n">
        <v>30600</v>
      </c>
      <c r="I63" s="17">
        <f>E63-F63</f>
        <v/>
      </c>
      <c r="J63" s="9" t="inlineStr">
        <is>
          <t>Clutch.ca - no doc/admin fees / 7 seats / premium trim / pano</t>
        </is>
      </c>
      <c r="K63" s="8" t="inlineStr">
        <is>
          <t>Clutch.ca</t>
        </is>
      </c>
      <c r="L63" s="18">
        <f>HYPERLINK("https://www.clutch.ca/vehicles/125412","open")</f>
        <v/>
      </c>
      <c r="M63" s="8" t="inlineStr">
        <is>
          <t>Clutch.ca scan 09-01</t>
        </is>
      </c>
    </row>
    <row r="64">
      <c r="A64" s="8" t="inlineStr">
        <is>
          <t>Hyundai</t>
        </is>
      </c>
      <c r="B64" s="8" t="inlineStr">
        <is>
          <t>Palisade</t>
        </is>
      </c>
      <c r="C64" s="9" t="inlineStr">
        <is>
          <t>Ultimate Calligraphy</t>
        </is>
      </c>
      <c r="D64" s="8" t="n">
        <v>2026</v>
      </c>
      <c r="E64" s="10" t="n">
        <v>56990</v>
      </c>
      <c r="F64" s="10" t="n">
        <v>54699</v>
      </c>
      <c r="G64" s="9" t="inlineStr">
        <is>
          <t>Hyundai Canada 2021 MSRP, Ultimate Calligraphy (Urban = Calligraphy-based)</t>
        </is>
      </c>
      <c r="H64" s="16" t="n">
        <v>21660</v>
      </c>
      <c r="I64" s="17">
        <f>E64-F64</f>
        <v/>
      </c>
      <c r="J64" s="9" t="inlineStr">
        <is>
          <t>Clutch.ca - no doc/admin fees / 7 seats / premium trim / pano</t>
        </is>
      </c>
      <c r="K64" s="8" t="inlineStr">
        <is>
          <t>Clutch.ca</t>
        </is>
      </c>
      <c r="L64" s="18">
        <f>HYPERLINK("https://www.clutch.ca/vehicles/119718","open")</f>
        <v/>
      </c>
      <c r="M64" s="8" t="inlineStr">
        <is>
          <t>Clutch.ca scan 09-01</t>
        </is>
      </c>
    </row>
    <row r="65">
      <c r="A65" s="8" t="inlineStr">
        <is>
          <t>Hyundai</t>
        </is>
      </c>
      <c r="B65" s="8" t="inlineStr">
        <is>
          <t>Palisade Hybrid</t>
        </is>
      </c>
      <c r="C65" s="9" t="inlineStr">
        <is>
          <t>Ultimate Calligraphy NHL Special Ed (demo)</t>
        </is>
      </c>
      <c r="D65" s="8" t="n">
        <v>2026</v>
      </c>
      <c r="E65" s="10" t="n">
        <v>65699</v>
      </c>
      <c r="F65" s="10" t="n"/>
      <c r="G65" s="9" t="inlineStr">
        <is>
          <t>not shown</t>
        </is>
      </c>
      <c r="H65" s="16" t="n">
        <v>14224</v>
      </c>
      <c r="I65" s="8" t="n"/>
      <c r="J65" s="9" t="inlineStr">
        <is>
          <t>used / white</t>
        </is>
      </c>
      <c r="K65" s="8" t="inlineStr"/>
      <c r="L65" s="18">
        <f>HYPERLINK("https://www.autotrader.ca/offers/hyundai-palisade-ultimate-calligraphy-nhl-special-ed-demo-gas-electric-hybrid-white-cat_ma33gr76553va2840tr11571-7cf4c3e7-18ad-40c1-a8bc-dbe4daa731b3","open")</f>
        <v/>
      </c>
      <c r="M65" s="8" t="inlineStr">
        <is>
          <t>Palisade Hybrid scan 09-01</t>
        </is>
      </c>
    </row>
    <row r="66">
      <c r="A66" s="8" t="inlineStr">
        <is>
          <t>Hyundai</t>
        </is>
      </c>
      <c r="B66" s="8" t="inlineStr">
        <is>
          <t>Palisade Hybrid</t>
        </is>
      </c>
      <c r="C66" s="9" t="inlineStr">
        <is>
          <t>Ultimate Calligraphy</t>
        </is>
      </c>
      <c r="D66" s="8" t="n">
        <v>2026</v>
      </c>
      <c r="E66" s="10" t="n">
        <v>66976</v>
      </c>
      <c r="F66" s="10" t="n">
        <v>66976</v>
      </c>
      <c r="G66" s="9" t="inlineStr">
        <is>
          <t>printed on the AutoTrader card</t>
        </is>
      </c>
      <c r="H66" s="16" t="n">
        <v>25</v>
      </c>
      <c r="I66" s="17">
        <f>E66-F66</f>
        <v/>
      </c>
      <c r="J66" s="9" t="inlineStr">
        <is>
          <t>NEW / silver</t>
        </is>
      </c>
      <c r="K66" s="8" t="inlineStr"/>
      <c r="L66" s="18">
        <f>HYPERLINK("https://www.autotrader.ca/offers/hyundai-palisade-ultimate-calligraphy-gas-electric-hybrid-silver-cat_ma33gr76553va2840tr11571-b46eafef-b189-4bcd-bbc3-2a0b8859cba7","open")</f>
        <v/>
      </c>
      <c r="M66" s="8" t="inlineStr">
        <is>
          <t>Palisade Hybrid scan 09-01</t>
        </is>
      </c>
    </row>
    <row r="67">
      <c r="A67" s="8" t="inlineStr">
        <is>
          <t>Hyundai</t>
        </is>
      </c>
      <c r="B67" s="8" t="inlineStr">
        <is>
          <t>Palisade Hybrid</t>
        </is>
      </c>
      <c r="C67" s="9" t="inlineStr">
        <is>
          <t>Ultimate Calligraphy AWD (previous FIFA demo)</t>
        </is>
      </c>
      <c r="D67" s="8" t="n">
        <v>2026</v>
      </c>
      <c r="E67" s="10" t="n">
        <v>67988</v>
      </c>
      <c r="F67" s="10" t="n"/>
      <c r="G67" s="9" t="inlineStr">
        <is>
          <t>not shown</t>
        </is>
      </c>
      <c r="H67" s="16" t="n">
        <v>1033</v>
      </c>
      <c r="I67" s="8" t="n"/>
      <c r="J67" s="9" t="inlineStr">
        <is>
          <t>used / white</t>
        </is>
      </c>
      <c r="K67" s="8" t="inlineStr"/>
      <c r="L67" s="18">
        <f>HYPERLINK("https://www.autotrader.ca/offers/hyundai-palisade-ultimate-calligraphy-awd-previous-fifa-demo-gas-electric-hybrid-white-cat_ma33gr76553va2840tr11571-6f2cb7fa-dbda-43a2-99a0-f6164af7aa82","open")</f>
        <v/>
      </c>
      <c r="M67" s="8" t="inlineStr">
        <is>
          <t>Palisade Hybrid scan 09-01</t>
        </is>
      </c>
    </row>
    <row r="68">
      <c r="A68" s="8" t="inlineStr">
        <is>
          <t>Hyundai</t>
        </is>
      </c>
      <c r="B68" s="8" t="inlineStr">
        <is>
          <t>Palisade Hybrid</t>
        </is>
      </c>
      <c r="C68" s="9" t="inlineStr">
        <is>
          <t>Ultimate Calligraphy</t>
        </is>
      </c>
      <c r="D68" s="8" t="n">
        <v>2026</v>
      </c>
      <c r="E68" s="10" t="n">
        <v>67990</v>
      </c>
      <c r="F68" s="10" t="n">
        <v>69990</v>
      </c>
      <c r="G68" s="9" t="inlineStr">
        <is>
          <t>printed on the AutoTrader card</t>
        </is>
      </c>
      <c r="H68" s="16" t="n">
        <v>16</v>
      </c>
      <c r="I68" s="17">
        <f>E68-F68</f>
        <v/>
      </c>
      <c r="J68" s="9" t="inlineStr">
        <is>
          <t>NEW / black</t>
        </is>
      </c>
      <c r="K68" s="8" t="inlineStr"/>
      <c r="L68" s="18">
        <f>HYPERLINK("https://www.autotrader.ca/offers/hyundai-palisade-ultimate-calligraphy-gas-electric-hybrid-black-cat_ma33gr76553va2840tr11571-2ea6c2f2-5433-44c4-b647-399d88bede45","open")</f>
        <v/>
      </c>
      <c r="M68" s="8" t="inlineStr">
        <is>
          <t>Palisade Hybrid scan 09-01</t>
        </is>
      </c>
    </row>
    <row r="69">
      <c r="A69" s="8" t="inlineStr">
        <is>
          <t>Hyundai</t>
        </is>
      </c>
      <c r="B69" s="8" t="inlineStr">
        <is>
          <t>Palisade Hybrid</t>
        </is>
      </c>
      <c r="C69" s="9" t="inlineStr">
        <is>
          <t>Ultimate Calligraphy</t>
        </is>
      </c>
      <c r="D69" s="8" t="n">
        <v>2026</v>
      </c>
      <c r="E69" s="10" t="n">
        <v>68199</v>
      </c>
      <c r="F69" s="10" t="n">
        <v>68199</v>
      </c>
      <c r="G69" s="9" t="inlineStr">
        <is>
          <t>printed on the AutoTrader card</t>
        </is>
      </c>
      <c r="H69" s="16" t="n">
        <v>50</v>
      </c>
      <c r="I69" s="17">
        <f>E69-F69</f>
        <v/>
      </c>
      <c r="J69" s="9" t="inlineStr">
        <is>
          <t>NEW / white</t>
        </is>
      </c>
      <c r="K69" s="8" t="inlineStr"/>
      <c r="L69" s="18">
        <f>HYPERLINK("https://www.autotrader.ca/offers/hyundai-palisade-ultimate-calligraphy-gas-electric-hybrid-white-cat_ma33gr76553va2840tr11571-b578f42e-9e94-4f2c-9cb1-a2a7153c4c4d","open")</f>
        <v/>
      </c>
      <c r="M69" s="8" t="inlineStr">
        <is>
          <t>Palisade Hybrid scan 09-01</t>
        </is>
      </c>
    </row>
    <row r="70">
      <c r="A70" s="8" t="inlineStr">
        <is>
          <t>Hyundai</t>
        </is>
      </c>
      <c r="B70" s="8" t="inlineStr">
        <is>
          <t>Palisade Hybrid</t>
        </is>
      </c>
      <c r="C70" s="9" t="inlineStr">
        <is>
          <t>Ultimate Calligraphy</t>
        </is>
      </c>
      <c r="D70" s="8" t="n">
        <v>2026</v>
      </c>
      <c r="E70" s="10" t="n">
        <v>68549</v>
      </c>
      <c r="F70" s="10" t="n">
        <v>68549</v>
      </c>
      <c r="G70" s="9" t="inlineStr">
        <is>
          <t>printed on the AutoTrader card</t>
        </is>
      </c>
      <c r="H70" s="16" t="n">
        <v>11</v>
      </c>
      <c r="I70" s="17">
        <f>E70-F70</f>
        <v/>
      </c>
      <c r="J70" s="9" t="inlineStr">
        <is>
          <t>NEW / black</t>
        </is>
      </c>
      <c r="K70" s="8" t="inlineStr"/>
      <c r="L70" s="18">
        <f>HYPERLINK("https://www.autotrader.ca/offers/hyundai-palisade-ultimate-calligraphy-gas-electric-hybrid-black-cat_ma33gr76553va2840tr11571-eb22b594-5c15-4328-8c98-0d8a6502552d","open")</f>
        <v/>
      </c>
      <c r="M70" s="8" t="inlineStr">
        <is>
          <t>Palisade Hybrid scan 09-01</t>
        </is>
      </c>
    </row>
    <row r="71">
      <c r="A71" s="8" t="inlineStr">
        <is>
          <t>Hyundai</t>
        </is>
      </c>
      <c r="B71" s="8" t="inlineStr">
        <is>
          <t>Palisade Hybrid</t>
        </is>
      </c>
      <c r="C71" s="9" t="inlineStr">
        <is>
          <t>Ultimate Calligraphy</t>
        </is>
      </c>
      <c r="D71" s="8" t="n">
        <v>2026</v>
      </c>
      <c r="E71" s="10" t="n">
        <v>68549</v>
      </c>
      <c r="F71" s="10" t="n">
        <v>68549</v>
      </c>
      <c r="G71" s="9" t="inlineStr">
        <is>
          <t>printed on the AutoTrader card</t>
        </is>
      </c>
      <c r="H71" s="16" t="n">
        <v>75</v>
      </c>
      <c r="I71" s="17">
        <f>E71-F71</f>
        <v/>
      </c>
      <c r="J71" s="9" t="inlineStr">
        <is>
          <t>NEW</t>
        </is>
      </c>
      <c r="K71" s="8" t="inlineStr"/>
      <c r="L71" s="18">
        <f>HYPERLINK("https://www.autotrader.ca/offers/hyundai-palisade-ultimate-calligraphy-gas-electric-hybrid-cat_ma33gr76553va2840tr11571-775a7f3b-4bdc-4cf8-9405-493aefa04168","open")</f>
        <v/>
      </c>
      <c r="M71" s="8" t="inlineStr">
        <is>
          <t>Palisade Hybrid scan 09-01</t>
        </is>
      </c>
    </row>
    <row r="72">
      <c r="A72" s="8" t="inlineStr">
        <is>
          <t>Hyundai</t>
        </is>
      </c>
      <c r="B72" s="8" t="inlineStr">
        <is>
          <t>Palisade Hybrid</t>
        </is>
      </c>
      <c r="C72" s="9" t="inlineStr">
        <is>
          <t>Ultimate Calligraphy AWD</t>
        </is>
      </c>
      <c r="D72" s="8" t="n">
        <v>2027</v>
      </c>
      <c r="E72" s="10" t="n">
        <v>69099</v>
      </c>
      <c r="F72" s="10" t="n">
        <v>69099</v>
      </c>
      <c r="G72" s="9" t="inlineStr">
        <is>
          <t>printed on the AutoTrader card</t>
        </is>
      </c>
      <c r="H72" s="16" t="n">
        <v>99</v>
      </c>
      <c r="I72" s="17">
        <f>E72-F72</f>
        <v/>
      </c>
      <c r="J72" s="9" t="inlineStr">
        <is>
          <t>NEW / black</t>
        </is>
      </c>
      <c r="K72" s="8" t="inlineStr"/>
      <c r="L72" s="18">
        <f>HYPERLINK("https://www.autotrader.ca/offers/hyundai-palisade-ultimate-calligraphy-awd-gas-electric-hybrid-black-cat_ma33gr76553va2840-571a26fd-908d-43bd-bad1-e5be15897be2","open")</f>
        <v/>
      </c>
      <c r="M72" s="8" t="inlineStr">
        <is>
          <t>Palisade Hybrid scan 09-01</t>
        </is>
      </c>
    </row>
    <row r="73">
      <c r="A73" s="8" t="inlineStr">
        <is>
          <t>Hyundai</t>
        </is>
      </c>
      <c r="B73" s="8" t="inlineStr">
        <is>
          <t>Palisade Hybrid</t>
        </is>
      </c>
      <c r="C73" s="9" t="inlineStr">
        <is>
          <t>Ultimate Calligraphy AWD</t>
        </is>
      </c>
      <c r="D73" s="8" t="n">
        <v>2027</v>
      </c>
      <c r="E73" s="10" t="n">
        <v>69099</v>
      </c>
      <c r="F73" s="10" t="n">
        <v>69099</v>
      </c>
      <c r="G73" s="9" t="inlineStr">
        <is>
          <t>printed on the AutoTrader card</t>
        </is>
      </c>
      <c r="H73" s="16" t="n">
        <v>59</v>
      </c>
      <c r="I73" s="17">
        <f>E73-F73</f>
        <v/>
      </c>
      <c r="J73" s="9" t="inlineStr">
        <is>
          <t>NEW / grey</t>
        </is>
      </c>
      <c r="K73" s="8" t="inlineStr"/>
      <c r="L73" s="18">
        <f>HYPERLINK("https://www.autotrader.ca/offers/hyundai-palisade-ultimate-calligraphy-awd-gas-electric-hybrid-grey-cat_ma33gr76553va2840-b320386b-9825-4b92-9889-97bc52ef126d","open")</f>
        <v/>
      </c>
      <c r="M73" s="8" t="inlineStr">
        <is>
          <t>Palisade Hybrid scan 09-01</t>
        </is>
      </c>
    </row>
    <row r="74">
      <c r="A74" s="8" t="inlineStr">
        <is>
          <t>Lexus</t>
        </is>
      </c>
      <c r="B74" s="8" t="inlineStr">
        <is>
          <t>TX 350</t>
        </is>
      </c>
      <c r="C74" s="9" t="inlineStr">
        <is>
          <t>Luxury</t>
        </is>
      </c>
      <c r="D74" s="8" t="n">
        <v>2024</v>
      </c>
      <c r="E74" s="10" t="n">
        <v>58888</v>
      </c>
      <c r="F74" s="10" t="n">
        <v>72160</v>
      </c>
      <c r="G74" s="9" t="inlineStr">
        <is>
          <t>current-MY equivalent: $69,855 Luxury + $2,305 (Lexus of Vaughan)</t>
        </is>
      </c>
      <c r="H74" s="16" t="n">
        <v>49344</v>
      </c>
      <c r="I74" s="17">
        <f>E74-F74</f>
        <v/>
      </c>
      <c r="J74" s="9" t="inlineStr">
        <is>
          <t>used / grey</t>
        </is>
      </c>
      <c r="K74" s="8" t="inlineStr">
        <is>
          <t>Ontario Lexus dealer</t>
        </is>
      </c>
      <c r="L74" s="18">
        <f>HYPERLINK("https://www.autotrader.ca/offers/lexus-tx-tx-350-luxury-gasoline-grey-cat_ma43gr202144mt12047tr478970-8a14d8cf-85d1-4d23-8dfd-584d40a35810","open")</f>
        <v/>
      </c>
      <c r="M74" s="8" t="inlineStr">
        <is>
          <t>Lexus TX scan 09-02</t>
        </is>
      </c>
    </row>
    <row r="75">
      <c r="A75" s="8" t="inlineStr">
        <is>
          <t>Lexus</t>
        </is>
      </c>
      <c r="B75" s="8" t="inlineStr">
        <is>
          <t>TX 350</t>
        </is>
      </c>
      <c r="C75" s="9" t="inlineStr">
        <is>
          <t>Luxury</t>
        </is>
      </c>
      <c r="D75" s="8" t="n">
        <v>2024</v>
      </c>
      <c r="E75" s="10" t="n">
        <v>61995</v>
      </c>
      <c r="F75" s="10" t="n">
        <v>72160</v>
      </c>
      <c r="G75" s="9" t="inlineStr">
        <is>
          <t>current-MY equivalent: $69,855 Luxury + $2,305 (Lexus of Vaughan)</t>
        </is>
      </c>
      <c r="H75" s="16" t="n">
        <v>32000</v>
      </c>
      <c r="I75" s="17">
        <f>E75-F75</f>
        <v/>
      </c>
      <c r="J75" s="9" t="inlineStr">
        <is>
          <t>used / black</t>
        </is>
      </c>
      <c r="K75" s="8" t="inlineStr">
        <is>
          <t>Ontario Lexus dealer</t>
        </is>
      </c>
      <c r="L75" s="18">
        <f>HYPERLINK("https://www.autotrader.ca/offers/lexus-tx-luxury-gasoline-black-cat_ma43gr202144mt12047tr478970-27cd1e74-cb7b-4a04-972d-17d12237d9d5","open")</f>
        <v/>
      </c>
      <c r="M75" s="8" t="inlineStr">
        <is>
          <t>Lexus TX scan 09-02</t>
        </is>
      </c>
    </row>
    <row r="76">
      <c r="A76" s="8" t="inlineStr">
        <is>
          <t>Lexus</t>
        </is>
      </c>
      <c r="B76" s="8" t="inlineStr">
        <is>
          <t>TX 350</t>
        </is>
      </c>
      <c r="C76" s="9" t="inlineStr">
        <is>
          <t>Luxury + pano</t>
        </is>
      </c>
      <c r="D76" s="8" t="n">
        <v>2024</v>
      </c>
      <c r="E76" s="10" t="n">
        <v>63588</v>
      </c>
      <c r="F76" s="10" t="n">
        <v>72160</v>
      </c>
      <c r="G76" s="9" t="inlineStr">
        <is>
          <t>current-MY equivalent: $69,855 Luxury + $2,305 (Lexus of Vaughan)</t>
        </is>
      </c>
      <c r="H76" s="16" t="n">
        <v>21531</v>
      </c>
      <c r="I76" s="17">
        <f>E76-F76</f>
        <v/>
      </c>
      <c r="J76" s="9" t="inlineStr">
        <is>
          <t>used / n/a</t>
        </is>
      </c>
      <c r="K76" s="8" t="inlineStr">
        <is>
          <t>Ontario Lexus dealer</t>
        </is>
      </c>
      <c r="L76" s="18">
        <f>HYPERLINK("https://www.autotrader.ca/offers/lexus-tx-luxury-panoroof-gasoline-cat_ma43gr202144mt12047tr478970-d0f39fcf-39b3-458d-9db5-a6f13550b011","open")</f>
        <v/>
      </c>
      <c r="M76" s="8" t="inlineStr">
        <is>
          <t>Lexus TX scan 09-02</t>
        </is>
      </c>
    </row>
    <row r="77">
      <c r="A77" s="8" t="inlineStr">
        <is>
          <t>Lexus</t>
        </is>
      </c>
      <c r="B77" s="8" t="inlineStr">
        <is>
          <t>TX 350</t>
        </is>
      </c>
      <c r="C77" s="9" t="inlineStr">
        <is>
          <t>Ultra Luxury</t>
        </is>
      </c>
      <c r="D77" s="8" t="n">
        <v>2024</v>
      </c>
      <c r="E77" s="10" t="n">
        <v>63688</v>
      </c>
      <c r="F77" s="10" t="n">
        <v>74913</v>
      </c>
      <c r="G77" s="9" t="inlineStr">
        <is>
          <t>current-MY equivalent: $69,855 + $2,753 Ultra + $2,305 (matches 4 live listings)</t>
        </is>
      </c>
      <c r="H77" s="16" t="n">
        <v>35415</v>
      </c>
      <c r="I77" s="17">
        <f>E77-F77</f>
        <v/>
      </c>
      <c r="J77" s="9" t="inlineStr">
        <is>
          <t>used / Lexus Certified / black</t>
        </is>
      </c>
      <c r="K77" s="8" t="inlineStr">
        <is>
          <t>Ontario Lexus dealer</t>
        </is>
      </c>
      <c r="L77" s="18">
        <f>HYPERLINK("https://www.autotrader.ca/offers/lexus-tx-ultra-luxury-pkg-7passenger-heated-leather-seats-c-gasoline-black-cat_ma43gr202144mt12047tr478970-e5d98476-b7a6-4e89-acf4-395e7c2aa3a2","open")</f>
        <v/>
      </c>
      <c r="M77" s="8" t="inlineStr">
        <is>
          <t>Lexus TX scan 09-02</t>
        </is>
      </c>
    </row>
    <row r="78">
      <c r="A78" s="8" t="inlineStr">
        <is>
          <t>Lexus</t>
        </is>
      </c>
      <c r="B78" s="8" t="inlineStr">
        <is>
          <t>TX 350</t>
        </is>
      </c>
      <c r="C78" s="9" t="inlineStr">
        <is>
          <t>Ultra Luxury 7-Pass</t>
        </is>
      </c>
      <c r="D78" s="8" t="n">
        <v>2025</v>
      </c>
      <c r="E78" s="10" t="n">
        <v>63800</v>
      </c>
      <c r="F78" s="10" t="n">
        <v>74913</v>
      </c>
      <c r="G78" s="9" t="inlineStr">
        <is>
          <t>current-MY equivalent: $69,855 + $2,753 Ultra + $2,305 (matches 4 live listings)</t>
        </is>
      </c>
      <c r="H78" s="16" t="n">
        <v>66623</v>
      </c>
      <c r="I78" s="17">
        <f>E78-F78</f>
        <v/>
      </c>
      <c r="J78" s="9" t="inlineStr">
        <is>
          <t>used / Lexus Certified / white</t>
        </is>
      </c>
      <c r="K78" s="8" t="inlineStr">
        <is>
          <t>Ontario Lexus dealer</t>
        </is>
      </c>
      <c r="L78" s="18">
        <f>HYPERLINK("https://www.autotrader.ca/offers/lexus-tx-ultra-luxury-7-passenger-gasoline-white-cat_ma43gr202144mt12047-2207ea80-52b1-4aeb-bb9f-440bb01137b3","open")</f>
        <v/>
      </c>
      <c r="M78" s="8" t="inlineStr">
        <is>
          <t>Lexus TX scan 09-02</t>
        </is>
      </c>
    </row>
    <row r="79">
      <c r="A79" s="8" t="inlineStr">
        <is>
          <t>Lexus</t>
        </is>
      </c>
      <c r="B79" s="8" t="inlineStr">
        <is>
          <t>TX 350</t>
        </is>
      </c>
      <c r="C79" s="9" t="inlineStr">
        <is>
          <t>Luxury + cooled seats</t>
        </is>
      </c>
      <c r="D79" s="8" t="n">
        <v>2025</v>
      </c>
      <c r="E79" s="10" t="n">
        <v>66666</v>
      </c>
      <c r="F79" s="10" t="n">
        <v>72160</v>
      </c>
      <c r="G79" s="9" t="inlineStr">
        <is>
          <t>current-MY equivalent: $69,855 Luxury + $2,305 (Lexus of Vaughan)</t>
        </is>
      </c>
      <c r="H79" s="16" t="n">
        <v>31981</v>
      </c>
      <c r="I79" s="17">
        <f>E79-F79</f>
        <v/>
      </c>
      <c r="J79" s="9" t="inlineStr">
        <is>
          <t>used / Lexus Certified / black</t>
        </is>
      </c>
      <c r="K79" s="8" t="inlineStr">
        <is>
          <t>Ontario Lexus dealer</t>
        </is>
      </c>
      <c r="L79" s="18">
        <f>HYPERLINK("https://www.autotrader.ca/offers/lexus-tx-luxury-package-cooling-seats-gasoline-black-cat_ma43gr202144mt12047-af460857-ec71-425e-8e6d-ea67b9fbc1d8","open")</f>
        <v/>
      </c>
      <c r="M79" s="8" t="inlineStr">
        <is>
          <t>Lexus TX scan 09-02</t>
        </is>
      </c>
    </row>
    <row r="80">
      <c r="A80" s="8" t="inlineStr">
        <is>
          <t>Lexus</t>
        </is>
      </c>
      <c r="B80" s="8" t="inlineStr">
        <is>
          <t>TX 350</t>
        </is>
      </c>
      <c r="C80" s="9" t="inlineStr">
        <is>
          <t>Ultra Luxury</t>
        </is>
      </c>
      <c r="D80" s="8" t="n">
        <v>2024</v>
      </c>
      <c r="E80" s="10" t="n">
        <v>66900</v>
      </c>
      <c r="F80" s="10" t="n">
        <v>74913</v>
      </c>
      <c r="G80" s="9" t="inlineStr">
        <is>
          <t>current-MY equivalent: $69,855 + $2,753 Ultra + $2,305 (matches 4 live listings)</t>
        </is>
      </c>
      <c r="H80" s="16" t="n">
        <v>25022</v>
      </c>
      <c r="I80" s="17">
        <f>E80-F80</f>
        <v/>
      </c>
      <c r="J80" s="9" t="inlineStr">
        <is>
          <t>used / Lexus Certified / Cloudburst Grey</t>
        </is>
      </c>
      <c r="K80" s="8" t="inlineStr">
        <is>
          <t>Lexus on the Park, Toronto</t>
        </is>
      </c>
      <c r="L80" s="18">
        <f>HYPERLINK("https://www.autotrader.ca/offers/lexus-tx-350-ultra-luxury-pkg-lexus-certified-awd-gasoline-grey-cat_ma43gr202144mt12047tr478970-38227ac6-5f6c-4510-bf55-42c10651619d","open")</f>
        <v/>
      </c>
      <c r="M80" s="8" t="inlineStr">
        <is>
          <t>Lexus TX scan 09-02</t>
        </is>
      </c>
    </row>
    <row r="81">
      <c r="A81" s="8" t="inlineStr">
        <is>
          <t>Lexus</t>
        </is>
      </c>
      <c r="B81" s="8" t="inlineStr">
        <is>
          <t>TX 350</t>
        </is>
      </c>
      <c r="C81" s="9" t="inlineStr">
        <is>
          <t>Ultra Luxury (DEMO)</t>
        </is>
      </c>
      <c r="D81" s="8" t="n">
        <v>2026</v>
      </c>
      <c r="E81" s="10" t="n">
        <v>70588</v>
      </c>
      <c r="F81" s="10" t="n">
        <v>74913</v>
      </c>
      <c r="G81" s="9" t="inlineStr">
        <is>
          <t>current-MY equivalent: $69,855 + $2,753 Ultra + $2,305 (matches 4 live listings)</t>
        </is>
      </c>
      <c r="H81" s="16" t="n">
        <v>11</v>
      </c>
      <c r="I81" s="17">
        <f>E81-F81</f>
        <v/>
      </c>
      <c r="J81" s="9" t="inlineStr">
        <is>
          <t>used / red</t>
        </is>
      </c>
      <c r="K81" s="8" t="inlineStr">
        <is>
          <t>Don Valley North Lexus, Markham</t>
        </is>
      </c>
      <c r="L81" s="18">
        <f>HYPERLINK("https://www.autotrader.ca/offers/lexus-tx-tx-350-awd-gasoline-red-cat_ma43gr202144mt12047-6b88a4c5-a418-412f-a10a-04920b336aeb","open")</f>
        <v/>
      </c>
      <c r="M81" s="8" t="inlineStr">
        <is>
          <t>Lexus TX scan 09-02</t>
        </is>
      </c>
    </row>
    <row r="82">
      <c r="A82" s="8" t="inlineStr">
        <is>
          <t>Lexus</t>
        </is>
      </c>
      <c r="B82" s="8" t="inlineStr">
        <is>
          <t>TX 350</t>
        </is>
      </c>
      <c r="C82" s="9" t="inlineStr">
        <is>
          <t>Luxury</t>
        </is>
      </c>
      <c r="D82" s="8" t="n">
        <v>2026</v>
      </c>
      <c r="E82" s="10" t="n">
        <v>71809</v>
      </c>
      <c r="F82" s="10" t="n">
        <v>72160</v>
      </c>
      <c r="G82" s="9" t="inlineStr">
        <is>
          <t>current-MY equivalent: $69,855 Luxury + $2,305 (Lexus of Vaughan)</t>
        </is>
      </c>
      <c r="H82" s="16" t="n">
        <v>74</v>
      </c>
      <c r="I82" s="17">
        <f>E82-F82</f>
        <v/>
      </c>
      <c r="J82" s="9" t="inlineStr">
        <is>
          <t>NEW / silver</t>
        </is>
      </c>
      <c r="K82" s="8" t="inlineStr">
        <is>
          <t>Don Valley North Lexus, Markham</t>
        </is>
      </c>
      <c r="L82" s="18">
        <f>HYPERLINK("https://www.autotrader.ca/offers/lexus-tx-tx-350-gasoline-silver-cat_ma43gr202144-5ee974a2-cd05-4826-868f-357c535776f5","open")</f>
        <v/>
      </c>
      <c r="M82" s="8" t="inlineStr">
        <is>
          <t>Lexus TX scan 09-02</t>
        </is>
      </c>
    </row>
    <row r="83">
      <c r="A83" s="8" t="inlineStr">
        <is>
          <t>Lexus</t>
        </is>
      </c>
      <c r="B83" s="8" t="inlineStr">
        <is>
          <t>TX 350</t>
        </is>
      </c>
      <c r="C83" s="9" t="inlineStr">
        <is>
          <t>Ultra Luxury</t>
        </is>
      </c>
      <c r="D83" s="8" t="n">
        <v>2025</v>
      </c>
      <c r="E83" s="10" t="n">
        <v>71995</v>
      </c>
      <c r="F83" s="10" t="n">
        <v>74913</v>
      </c>
      <c r="G83" s="9" t="inlineStr">
        <is>
          <t>current-MY equivalent: $69,855 + $2,753 Ultra + $2,305 (matches 4 live listings)</t>
        </is>
      </c>
      <c r="H83" s="16" t="n">
        <v>1200</v>
      </c>
      <c r="I83" s="17">
        <f>E83-F83</f>
        <v/>
      </c>
      <c r="J83" s="9" t="inlineStr">
        <is>
          <t>used / silver</t>
        </is>
      </c>
      <c r="K83" s="8" t="inlineStr">
        <is>
          <t>Ontario Lexus dealer</t>
        </is>
      </c>
      <c r="L83" s="18">
        <f>HYPERLINK("https://www.autotrader.ca/offers/lexus-tx-ultra-luxury-gasoline-silver-cat_ma43gr202144mt12047-6c51b734-26b5-4b9c-803b-7a0885792726","open")</f>
        <v/>
      </c>
      <c r="M83" s="8" t="inlineStr">
        <is>
          <t>Lexus TX scan 09-02</t>
        </is>
      </c>
    </row>
    <row r="84">
      <c r="A84" s="8" t="inlineStr">
        <is>
          <t>Lexus</t>
        </is>
      </c>
      <c r="B84" s="8" t="inlineStr">
        <is>
          <t>TX 350</t>
        </is>
      </c>
      <c r="C84" s="9" t="inlineStr">
        <is>
          <t>Luxury</t>
        </is>
      </c>
      <c r="D84" s="8" t="n">
        <v>2026</v>
      </c>
      <c r="E84" s="10" t="n">
        <v>72208</v>
      </c>
      <c r="F84" s="10" t="n">
        <v>72160</v>
      </c>
      <c r="G84" s="9" t="inlineStr">
        <is>
          <t>current-MY equivalent: $69,855 Luxury + $2,305 (Lexus of Vaughan)</t>
        </is>
      </c>
      <c r="H84" s="16" t="n">
        <v>35</v>
      </c>
      <c r="I84" s="17">
        <f>E84-F84</f>
        <v/>
      </c>
      <c r="J84" s="9" t="inlineStr">
        <is>
          <t>NEW / silver</t>
        </is>
      </c>
      <c r="K84" s="8" t="inlineStr">
        <is>
          <t>Lexus on the Park, Toronto</t>
        </is>
      </c>
      <c r="L84" s="18">
        <f>HYPERLINK("https://www.autotrader.ca/offers/lexus-tx-350-luxury-awd-gasoline-silver-cat_ma43gr202144-9f714381-36fd-4d55-8ac8-59355fd6d411","open")</f>
        <v/>
      </c>
      <c r="M84" s="8" t="inlineStr">
        <is>
          <t>Lexus TX scan 09-02</t>
        </is>
      </c>
    </row>
    <row r="85">
      <c r="A85" s="8" t="inlineStr">
        <is>
          <t>Lexus</t>
        </is>
      </c>
      <c r="B85" s="8" t="inlineStr">
        <is>
          <t>TX 500h</t>
        </is>
      </c>
      <c r="C85" s="9" t="inlineStr">
        <is>
          <t>F Sport</t>
        </is>
      </c>
      <c r="D85" s="8" t="n">
        <v>2024</v>
      </c>
      <c r="E85" s="10" t="n">
        <v>70995</v>
      </c>
      <c r="F85" s="10" t="n">
        <v>87705</v>
      </c>
      <c r="G85" s="9" t="inlineStr">
        <is>
          <t>TX 500h F SPORT 2 sticker: $85,400 + $2,205 freight + $100 AC (Lexus of Vaughan)</t>
        </is>
      </c>
      <c r="H85" s="16" t="n">
        <v>58747</v>
      </c>
      <c r="I85" s="17">
        <f>E85-F85</f>
        <v/>
      </c>
      <c r="J85" s="9" t="inlineStr">
        <is>
          <t>used / white</t>
        </is>
      </c>
      <c r="K85" s="8" t="inlineStr">
        <is>
          <t>Ontario dealer</t>
        </is>
      </c>
      <c r="L85" s="18">
        <f>HYPERLINK("https://www.autotrader.ca/offers/lexus-tx-500h-f-sport-3-toit-pano-mark-levinson-navi-gas-electric-hybrid-white-cat_ma43gr202144mt12048-983bed37-a64d-4f8f-aea3-ac77cbed45a1","open")</f>
        <v/>
      </c>
      <c r="M85" s="8" t="inlineStr">
        <is>
          <t>Lexus TX scan 09-02</t>
        </is>
      </c>
    </row>
    <row r="86">
      <c r="A86" s="8" t="inlineStr">
        <is>
          <t>Lexus</t>
        </is>
      </c>
      <c r="B86" s="8" t="inlineStr">
        <is>
          <t>TX 500h</t>
        </is>
      </c>
      <c r="C86" s="9" t="inlineStr">
        <is>
          <t>F Sport</t>
        </is>
      </c>
      <c r="D86" s="8" t="n">
        <v>2025</v>
      </c>
      <c r="E86" s="10" t="n">
        <v>74990</v>
      </c>
      <c r="F86" s="10" t="n">
        <v>87705</v>
      </c>
      <c r="G86" s="9" t="inlineStr">
        <is>
          <t>TX 500h F SPORT 2 sticker: $85,400 + $2,205 freight + $100 AC (Lexus of Vaughan)</t>
        </is>
      </c>
      <c r="H86" s="16" t="n">
        <v>27710</v>
      </c>
      <c r="I86" s="17">
        <f>E86-F86</f>
        <v/>
      </c>
      <c r="J86" s="9" t="inlineStr">
        <is>
          <t>used / Lexus Certified / silver</t>
        </is>
      </c>
      <c r="K86" s="8" t="inlineStr">
        <is>
          <t>Ontario Lexus dealer</t>
        </is>
      </c>
      <c r="L86" s="18">
        <f>HYPERLINK("https://www.autotrader.ca/offers/lexus-tx-500h-f-sport-3-like-new-gas-electric-hybrid-silver-cat_ma43gr202144mt12048-16aa8d2f-83e0-400e-9ef6-c27f55d19ee6","open")</f>
        <v/>
      </c>
      <c r="M86" s="8" t="inlineStr">
        <is>
          <t>Lexus TX scan 09-02</t>
        </is>
      </c>
    </row>
    <row r="87">
      <c r="A87" s="8" t="inlineStr">
        <is>
          <t>Lexus</t>
        </is>
      </c>
      <c r="B87" s="8" t="inlineStr">
        <is>
          <t>TX 500h</t>
        </is>
      </c>
      <c r="C87" s="9" t="inlineStr">
        <is>
          <t>F Sport</t>
        </is>
      </c>
      <c r="D87" s="8" t="n">
        <v>2025</v>
      </c>
      <c r="E87" s="10" t="n">
        <v>77995</v>
      </c>
      <c r="F87" s="10" t="n">
        <v>87705</v>
      </c>
      <c r="G87" s="9" t="inlineStr">
        <is>
          <t>TX 500h F SPORT 2 sticker: $85,400 + $2,205 freight + $100 AC (Lexus of Vaughan)</t>
        </is>
      </c>
      <c r="H87" s="16" t="n">
        <v>5770</v>
      </c>
      <c r="I87" s="17">
        <f>E87-F87</f>
        <v/>
      </c>
      <c r="J87" s="9" t="inlineStr">
        <is>
          <t>used / Lexus Certified / grey</t>
        </is>
      </c>
      <c r="K87" s="8" t="inlineStr">
        <is>
          <t>Brampton</t>
        </is>
      </c>
      <c r="L87" s="18">
        <f>HYPERLINK("https://www.autotrader.ca/offers/lexus-tx-500h-f-sport-awd-navi-pano-roof-apple-carplay-gas-electric-hybrid-grey-cat_ma43gr202144mt12048-947adc0b-0f53-471e-abd9-7bbc5bdb79f7","open")</f>
        <v/>
      </c>
      <c r="M87" s="8" t="inlineStr">
        <is>
          <t>Lexus TX scan 09-02</t>
        </is>
      </c>
    </row>
    <row r="88">
      <c r="A88" s="8" t="inlineStr">
        <is>
          <t>Mitsubishi</t>
        </is>
      </c>
      <c r="B88" s="8" t="inlineStr">
        <is>
          <t>Outlander PHEV</t>
        </is>
      </c>
      <c r="C88" s="9" t="inlineStr">
        <is>
          <t>SEL</t>
        </is>
      </c>
      <c r="D88" s="8" t="n">
        <v>2026</v>
      </c>
      <c r="E88" s="10" t="n">
        <v>55573</v>
      </c>
      <c r="F88" s="10" t="n">
        <v>59823</v>
      </c>
      <c r="G88" s="9" t="inlineStr">
        <is>
          <t>printed on the AutoTrader card</t>
        </is>
      </c>
      <c r="H88" s="16" t="n">
        <v>0</v>
      </c>
      <c r="I88" s="17">
        <f>E88-F88</f>
        <v/>
      </c>
      <c r="J88" s="9" t="inlineStr">
        <is>
          <t>NEW / $4,250 off MSRP / silver</t>
        </is>
      </c>
      <c r="K88" s="8" t="inlineStr"/>
      <c r="L88" s="18">
        <f>HYPERLINK("https://www.autotrader.ca/offers/mitsubishi-outlander-sel-phev-72-km-ev-range-ventilated-seats-gas-electric-hybrid-silver-cat_ma50gr201018va1568tr14384-21ec3801-1382-49a6-bf0e-59d80412417f","open")</f>
        <v/>
      </c>
      <c r="M88" s="8" t="inlineStr">
        <is>
          <t>Outlander PHEV scan 09-01</t>
        </is>
      </c>
    </row>
    <row r="89">
      <c r="A89" s="8" t="inlineStr">
        <is>
          <t>Mitsubishi</t>
        </is>
      </c>
      <c r="B89" s="8" t="inlineStr">
        <is>
          <t>Outlander PHEV</t>
        </is>
      </c>
      <c r="C89" s="9" t="inlineStr">
        <is>
          <t>SEL</t>
        </is>
      </c>
      <c r="D89" s="8" t="n">
        <v>2026</v>
      </c>
      <c r="E89" s="10" t="n">
        <v>55723</v>
      </c>
      <c r="F89" s="10" t="n">
        <v>59973</v>
      </c>
      <c r="G89" s="9" t="inlineStr">
        <is>
          <t>printed on the AutoTrader card</t>
        </is>
      </c>
      <c r="H89" s="16" t="n">
        <v>0</v>
      </c>
      <c r="I89" s="17">
        <f>E89-F89</f>
        <v/>
      </c>
      <c r="J89" s="9" t="inlineStr">
        <is>
          <t>NEW / $4,250 off MSRP / blue</t>
        </is>
      </c>
      <c r="K89" s="8" t="inlineStr"/>
      <c r="L89" s="18">
        <f>HYPERLINK("https://www.autotrader.ca/offers/mitsubishi-outlander-sel-phev-72-km-ev-range-vented-seats-360-cam-gas-electric-hybrid-blue-cat_ma50gr201018va1568tr14384-94f2be41-56f4-45cb-8034-e9c81674f936","open")</f>
        <v/>
      </c>
      <c r="M89" s="8" t="inlineStr">
        <is>
          <t>Outlander PHEV scan 09-01</t>
        </is>
      </c>
    </row>
    <row r="90">
      <c r="A90" s="8" t="inlineStr">
        <is>
          <t>Mitsubishi</t>
        </is>
      </c>
      <c r="B90" s="8" t="inlineStr">
        <is>
          <t>Outlander PHEV</t>
        </is>
      </c>
      <c r="C90" s="9" t="inlineStr">
        <is>
          <t>GT</t>
        </is>
      </c>
      <c r="D90" s="8" t="n">
        <v>2026</v>
      </c>
      <c r="E90" s="10" t="n">
        <v>59173</v>
      </c>
      <c r="F90" s="10" t="n">
        <v>63423</v>
      </c>
      <c r="G90" s="9" t="inlineStr">
        <is>
          <t>printed on the AutoTrader card</t>
        </is>
      </c>
      <c r="H90" s="16" t="n">
        <v>0</v>
      </c>
      <c r="I90" s="17">
        <f>E90-F90</f>
        <v/>
      </c>
      <c r="J90" s="9" t="inlineStr">
        <is>
          <t>NEW / $4,250 off MSRP / grey</t>
        </is>
      </c>
      <c r="K90" s="8" t="inlineStr"/>
      <c r="L90" s="18">
        <f>HYPERLINK("https://www.autotrader.ca/offers/mitsubishi-outlander-gt-phev-72-km-ev-range-hud-yamaha-ultimate-gas-electric-hybrid-grey-cat_ma50gr201018va1568tr11934-1ea7ff95-1226-4ec7-acab-b28fc4abeefd","open")</f>
        <v/>
      </c>
      <c r="M90" s="8" t="inlineStr">
        <is>
          <t>Outlander PHEV scan 09-01</t>
        </is>
      </c>
    </row>
    <row r="91">
      <c r="A91" s="8" t="inlineStr">
        <is>
          <t>Mitsubishi</t>
        </is>
      </c>
      <c r="B91" s="8" t="inlineStr">
        <is>
          <t>Outlander PHEV</t>
        </is>
      </c>
      <c r="C91" s="9" t="inlineStr">
        <is>
          <t>GT</t>
        </is>
      </c>
      <c r="D91" s="8" t="n">
        <v>2026</v>
      </c>
      <c r="E91" s="10" t="n">
        <v>59473</v>
      </c>
      <c r="F91" s="10" t="n">
        <v>63723</v>
      </c>
      <c r="G91" s="9" t="inlineStr">
        <is>
          <t>printed on the AutoTrader card</t>
        </is>
      </c>
      <c r="H91" s="16" t="n">
        <v>0</v>
      </c>
      <c r="I91" s="17">
        <f>E91-F91</f>
        <v/>
      </c>
      <c r="J91" s="9" t="inlineStr">
        <is>
          <t>NEW / $4,250 off MSRP / red</t>
        </is>
      </c>
      <c r="K91" s="8" t="inlineStr"/>
      <c r="L91" s="18">
        <f>HYPERLINK("https://www.autotrader.ca/offers/mitsubishi-outlander-gt-phev-s-awc-72-km-ev-range-hud-gas-electric-hybrid-red-cat_ma50gr201018va1568tr11934-b32900ca-216c-4e61-81df-a2fd5a581e8d","open")</f>
        <v/>
      </c>
      <c r="M91" s="8" t="inlineStr">
        <is>
          <t>Outlander PHEV scan 09-01</t>
        </is>
      </c>
    </row>
    <row r="92">
      <c r="A92" s="8" t="inlineStr">
        <is>
          <t>Mitsubishi</t>
        </is>
      </c>
      <c r="B92" s="8" t="inlineStr">
        <is>
          <t>Outlander PHEV</t>
        </is>
      </c>
      <c r="C92" s="9" t="inlineStr">
        <is>
          <t>GT</t>
        </is>
      </c>
      <c r="D92" s="8" t="n">
        <v>2026</v>
      </c>
      <c r="E92" s="10" t="n">
        <v>59523</v>
      </c>
      <c r="F92" s="10" t="n">
        <v>63023</v>
      </c>
      <c r="G92" s="9" t="inlineStr">
        <is>
          <t>printed on the AutoTrader card</t>
        </is>
      </c>
      <c r="H92" s="16" t="n">
        <v>0</v>
      </c>
      <c r="I92" s="17">
        <f>E92-F92</f>
        <v/>
      </c>
      <c r="J92" s="9" t="inlineStr">
        <is>
          <t>NEW / $3,500 off MSRP / grey</t>
        </is>
      </c>
      <c r="K92" s="8" t="inlineStr"/>
      <c r="L92" s="18">
        <f>HYPERLINK("https://www.autotrader.ca/offers/mitsubishi-outlander-gt-s-awc-gas-electric-hybrid-grey-cat_ma50gr201018va1568tr11934-0a04dc83-df59-4b93-be87-9311b0812d57","open")</f>
        <v/>
      </c>
      <c r="M92" s="8" t="inlineStr">
        <is>
          <t>Outlander PHEV scan 09-01</t>
        </is>
      </c>
    </row>
    <row r="93">
      <c r="A93" s="8" t="inlineStr">
        <is>
          <t>Mitsubishi</t>
        </is>
      </c>
      <c r="B93" s="8" t="inlineStr">
        <is>
          <t>Outlander PHEV</t>
        </is>
      </c>
      <c r="C93" s="9" t="inlineStr">
        <is>
          <t>GT Premium</t>
        </is>
      </c>
      <c r="D93" s="8" t="n">
        <v>2026</v>
      </c>
      <c r="E93" s="10" t="n">
        <v>60273</v>
      </c>
      <c r="F93" s="10" t="n">
        <v>64523</v>
      </c>
      <c r="G93" s="9" t="inlineStr">
        <is>
          <t>printed on the AutoTrader card</t>
        </is>
      </c>
      <c r="H93" s="16" t="n">
        <v>0</v>
      </c>
      <c r="I93" s="17">
        <f>E93-F93</f>
        <v/>
      </c>
      <c r="J93" s="9" t="inlineStr">
        <is>
          <t>NEW / $4,250 off MSRP / grey</t>
        </is>
      </c>
      <c r="K93" s="8" t="inlineStr"/>
      <c r="L93" s="18">
        <f>HYPERLINK("https://www.autotrader.ca/offers/mitsubishi-outlander-gt-premium-phev-297-hp-massage-seats-hud-gas-electric-hybrid-grey-cat_ma50gr201018va1568tr11934-9f9ad730-12f9-4a25-9a8b-aa66c70e20af","open")</f>
        <v/>
      </c>
      <c r="M93" s="8" t="inlineStr">
        <is>
          <t>Outlander PHEV scan 09-01</t>
        </is>
      </c>
    </row>
    <row r="94">
      <c r="A94" s="8" t="inlineStr">
        <is>
          <t>Mitsubishi</t>
        </is>
      </c>
      <c r="B94" s="8" t="inlineStr">
        <is>
          <t>Outlander PHEV</t>
        </is>
      </c>
      <c r="C94" s="9" t="inlineStr">
        <is>
          <t>GT</t>
        </is>
      </c>
      <c r="D94" s="8" t="n">
        <v>2026</v>
      </c>
      <c r="E94" s="10" t="n">
        <v>60323</v>
      </c>
      <c r="F94" s="10" t="n">
        <v>63823</v>
      </c>
      <c r="G94" s="9" t="inlineStr">
        <is>
          <t>printed on the AutoTrader card</t>
        </is>
      </c>
      <c r="H94" s="16" t="n">
        <v>0</v>
      </c>
      <c r="I94" s="17">
        <f>E94-F94</f>
        <v/>
      </c>
      <c r="J94" s="9" t="inlineStr">
        <is>
          <t>NEW / $3,500 off MSRP / blue</t>
        </is>
      </c>
      <c r="K94" s="8" t="inlineStr"/>
      <c r="L94" s="18">
        <f>HYPERLINK("https://www.autotrader.ca/offers/mitsubishi-outlander-gt-s-awc-electric-blue-cat_ma50gr201018va1568tr11934-3d6527b2-1669-4904-987d-ed5d5e1daa85","open")</f>
        <v/>
      </c>
      <c r="M94" s="8" t="inlineStr">
        <is>
          <t>Outlander PHEV scan 09-01</t>
        </is>
      </c>
    </row>
    <row r="95">
      <c r="A95" s="8" t="inlineStr">
        <is>
          <t>Mitsubishi</t>
        </is>
      </c>
      <c r="B95" s="8" t="inlineStr">
        <is>
          <t>Outlander PHEV</t>
        </is>
      </c>
      <c r="C95" s="9" t="inlineStr">
        <is>
          <t>GT NOIR</t>
        </is>
      </c>
      <c r="D95" s="8" t="n">
        <v>2026</v>
      </c>
      <c r="E95" s="10" t="n">
        <v>61973</v>
      </c>
      <c r="F95" s="10" t="n">
        <v>65473</v>
      </c>
      <c r="G95" s="9" t="inlineStr">
        <is>
          <t>printed on the AutoTrader card</t>
        </is>
      </c>
      <c r="H95" s="16" t="n">
        <v>0</v>
      </c>
      <c r="I95" s="17">
        <f>E95-F95</f>
        <v/>
      </c>
      <c r="J95" s="9" t="inlineStr">
        <is>
          <t>NEW / $3,500 off MSRP / black</t>
        </is>
      </c>
      <c r="K95" s="8" t="inlineStr"/>
      <c r="L95" s="18">
        <f>HYPERLINK("https://www.autotrader.ca/offers/mitsubishi-outlander-gt-noir-s-awc-gas-electric-hybrid-black-cat_ma50gr201018va1568tr14373-1174273a-6504-497e-aef3-9505ac7e8d9d","open")</f>
        <v/>
      </c>
      <c r="M95" s="8" t="inlineStr">
        <is>
          <t>Outlander PHEV scan 09-01</t>
        </is>
      </c>
    </row>
    <row r="96">
      <c r="A96" s="8" t="inlineStr">
        <is>
          <t>Tesla</t>
        </is>
      </c>
      <c r="B96" s="8" t="inlineStr">
        <is>
          <t>Model Y</t>
        </is>
      </c>
      <c r="C96" s="9" t="inlineStr">
        <is>
          <t>Long Range AWD</t>
        </is>
      </c>
      <c r="D96" s="8" t="n">
        <v>2023</v>
      </c>
      <c r="E96" s="10" t="n">
        <v>44790</v>
      </c>
      <c r="F96" s="10" t="n">
        <v>64990</v>
      </c>
      <c r="G96" s="9" t="inlineStr">
        <is>
          <t>current Tesla configurator, LR AWD, incentives unchecked</t>
        </is>
      </c>
      <c r="H96" s="16" t="n">
        <v>44242</v>
      </c>
      <c r="I96" s="17">
        <f>E96-F96</f>
        <v/>
      </c>
      <c r="J96" s="9" t="inlineStr">
        <is>
          <t>check / clutch / unknown / not stated / 5 SEATS</t>
        </is>
      </c>
      <c r="K96" s="8" t="inlineStr">
        <is>
          <t>Clutch.ca</t>
        </is>
      </c>
      <c r="L96" s="18">
        <f>HYPERLINK("https://www.clutch.ca/vehicles/125667","open")</f>
        <v/>
      </c>
      <c r="M96" s="8" t="inlineStr">
        <is>
          <t>Model Y scan 09-01</t>
        </is>
      </c>
    </row>
    <row r="97">
      <c r="A97" s="8" t="inlineStr">
        <is>
          <t>Tesla</t>
        </is>
      </c>
      <c r="B97" s="8" t="inlineStr">
        <is>
          <t>Model Y</t>
        </is>
      </c>
      <c r="C97" s="9" t="inlineStr">
        <is>
          <t>Long Range AWD</t>
        </is>
      </c>
      <c r="D97" s="8" t="n">
        <v>2023</v>
      </c>
      <c r="E97" s="10" t="n">
        <v>45690</v>
      </c>
      <c r="F97" s="10" t="n">
        <v>64990</v>
      </c>
      <c r="G97" s="9" t="inlineStr">
        <is>
          <t>current Tesla configurator, LR AWD, incentives unchecked</t>
        </is>
      </c>
      <c r="H97" s="16" t="n">
        <v>53558</v>
      </c>
      <c r="I97" s="17">
        <f>E97-F97</f>
        <v/>
      </c>
      <c r="J97" s="9" t="inlineStr">
        <is>
          <t>check / clutch / unknown / not stated / 5 SEATS</t>
        </is>
      </c>
      <c r="K97" s="8" t="inlineStr">
        <is>
          <t>Clutch.ca</t>
        </is>
      </c>
      <c r="L97" s="18">
        <f>HYPERLINK("https://www.clutch.ca/vehicles/122700","open")</f>
        <v/>
      </c>
      <c r="M97" s="8" t="inlineStr">
        <is>
          <t>Model Y scan 09-01</t>
        </is>
      </c>
    </row>
    <row r="98">
      <c r="A98" s="8" t="inlineStr">
        <is>
          <t>Tesla</t>
        </is>
      </c>
      <c r="B98" s="8" t="inlineStr">
        <is>
          <t>Model Y</t>
        </is>
      </c>
      <c r="C98" s="9" t="inlineStr">
        <is>
          <t>Long Range AWD</t>
        </is>
      </c>
      <c r="D98" s="8" t="n">
        <v>2022</v>
      </c>
      <c r="E98" s="10" t="n">
        <v>45998</v>
      </c>
      <c r="F98" s="10" t="n">
        <v>64990</v>
      </c>
      <c r="G98" s="9" t="inlineStr">
        <is>
          <t>current Tesla configurator, LR AWD, incentives unchecked</t>
        </is>
      </c>
      <c r="H98" s="16" t="n">
        <v>27681</v>
      </c>
      <c r="I98" s="17">
        <f>E98-F98</f>
        <v/>
      </c>
      <c r="J98" s="9" t="inlineStr">
        <is>
          <t>HW3 / franchise / white / clean Carfax claimed / 5 SEATS</t>
        </is>
      </c>
      <c r="K98" s="8" t="inlineStr">
        <is>
          <t>AutoTrader dealer</t>
        </is>
      </c>
      <c r="L98" s="18">
        <f>HYPERLINK("https://www.autotrader.ca/offers/tesla-model-y-long-range-awd-clean-carfax-electric-white-cat_ma51520gr201431tr15328-9eb85639-282c-4c63-9715-cbd1fd9ec0cb","open")</f>
        <v/>
      </c>
      <c r="M98" s="8" t="inlineStr">
        <is>
          <t>Model Y scan 09-01</t>
        </is>
      </c>
    </row>
    <row r="99">
      <c r="A99" s="8" t="inlineStr">
        <is>
          <t>Tesla</t>
        </is>
      </c>
      <c r="B99" s="8" t="inlineStr">
        <is>
          <t>Model Y</t>
        </is>
      </c>
      <c r="C99" s="9" t="inlineStr">
        <is>
          <t>Long Range AWD</t>
        </is>
      </c>
      <c r="D99" s="8" t="n">
        <v>2023</v>
      </c>
      <c r="E99" s="10" t="n">
        <v>49999</v>
      </c>
      <c r="F99" s="10" t="n">
        <v>64990</v>
      </c>
      <c r="G99" s="9" t="inlineStr">
        <is>
          <t>current Tesla configurator, LR AWD, incentives unchecked</t>
        </is>
      </c>
      <c r="H99" s="16" t="n">
        <v>33025</v>
      </c>
      <c r="I99" s="17">
        <f>E99-F99</f>
        <v/>
      </c>
      <c r="J99" s="9" t="inlineStr">
        <is>
          <t>check / franchise / white / not stated / 5 SEATS</t>
        </is>
      </c>
      <c r="K99" s="8" t="inlineStr">
        <is>
          <t>AutoTrader dealer</t>
        </is>
      </c>
      <c r="L99" s="18">
        <f>HYPERLINK("https://www.autotrader.ca/offers/tesla-model-y-long-range-electric-white-cat_ma51520gr201431tr15328-23795d1c-987e-43b4-960f-cc7909b5ebe6","open")</f>
        <v/>
      </c>
      <c r="M99" s="8" t="inlineStr">
        <is>
          <t>Model Y scan 09-01</t>
        </is>
      </c>
    </row>
    <row r="100">
      <c r="A100" s="8" t="inlineStr">
        <is>
          <t>Tesla</t>
        </is>
      </c>
      <c r="B100" s="8" t="inlineStr">
        <is>
          <t>Model Y</t>
        </is>
      </c>
      <c r="C100" s="9" t="inlineStr">
        <is>
          <t>Long Range Dual Motor AWD</t>
        </is>
      </c>
      <c r="D100" s="8" t="n">
        <v>2024</v>
      </c>
      <c r="E100" s="10" t="n">
        <v>51999</v>
      </c>
      <c r="F100" s="10" t="n">
        <v>64990</v>
      </c>
      <c r="G100" s="9" t="inlineStr">
        <is>
          <t>current Tesla configurator, LR AWD, incentives unchecked</t>
        </is>
      </c>
      <c r="H100" s="16" t="n">
        <v>63675</v>
      </c>
      <c r="I100" s="17">
        <f>E100-F100</f>
        <v/>
      </c>
      <c r="J100" s="9" t="inlineStr">
        <is>
          <t>HW4 / franchise / blue / not stated / 5 SEATS</t>
        </is>
      </c>
      <c r="K100" s="8" t="inlineStr">
        <is>
          <t>AutoTrader dealer</t>
        </is>
      </c>
      <c r="L100" s="18">
        <f>HYPERLINK("https://www.autotrader.ca/offers/tesla-model-y-long-range-dual-motor-awd-electric-blue-cat_ma51520gr201431tr15328-82eeee0b-dc1b-4fe3-87b5-80a1ac6f8459","open")</f>
        <v/>
      </c>
      <c r="M100" s="8" t="inlineStr">
        <is>
          <t>Model Y scan 09-01</t>
        </is>
      </c>
    </row>
    <row r="101">
      <c r="A101" s="8" t="inlineStr">
        <is>
          <t>Tesla</t>
        </is>
      </c>
      <c r="B101" s="8" t="inlineStr">
        <is>
          <t>Model Y</t>
        </is>
      </c>
      <c r="C101" s="9" t="inlineStr">
        <is>
          <t>Long Range AWD</t>
        </is>
      </c>
      <c r="D101" s="8" t="n">
        <v>2024</v>
      </c>
      <c r="E101" s="10" t="n">
        <v>54798</v>
      </c>
      <c r="F101" s="10" t="n">
        <v>64990</v>
      </c>
      <c r="G101" s="9" t="inlineStr">
        <is>
          <t>current Tesla configurator, LR AWD, incentives unchecked</t>
        </is>
      </c>
      <c r="H101" s="16" t="n">
        <v>35490</v>
      </c>
      <c r="I101" s="17">
        <f>E101-F101</f>
        <v/>
      </c>
      <c r="J101" s="9" t="inlineStr">
        <is>
          <t>HW4 / crossbrand / blue / not stated / 5 SEATS</t>
        </is>
      </c>
      <c r="K101" s="8" t="inlineStr">
        <is>
          <t>Parkway Nissan, Hamilton</t>
        </is>
      </c>
      <c r="L101" s="18">
        <f>HYPERLINK("https://www.autotrader.ca/offers/tesla-model-y-long-range-electric-blue-cat_ma51520gr201431tr15328-02e7482d-8df1-4ab2-91d3-f789f31b0486","open")</f>
        <v/>
      </c>
      <c r="M101" s="8" t="inlineStr">
        <is>
          <t>Model Y scan 09-01</t>
        </is>
      </c>
    </row>
    <row r="102">
      <c r="A102" s="8" t="inlineStr">
        <is>
          <t>Tesla</t>
        </is>
      </c>
      <c r="B102" s="8" t="inlineStr">
        <is>
          <t>Model Y</t>
        </is>
      </c>
      <c r="C102" s="9" t="inlineStr">
        <is>
          <t>Performance AWD</t>
        </is>
      </c>
      <c r="D102" s="8" t="n">
        <v>2025</v>
      </c>
      <c r="E102" s="10" t="n">
        <v>59500</v>
      </c>
      <c r="F102" s="10" t="n"/>
      <c r="G102" s="9" t="inlineStr">
        <is>
          <t>Performance not priced</t>
        </is>
      </c>
      <c r="H102" s="16" t="n">
        <v>19500</v>
      </c>
      <c r="I102" s="8" t="n"/>
      <c r="J102" s="9" t="inlineStr">
        <is>
          <t>HW4 / private / white / not stated / 5 SEATS</t>
        </is>
      </c>
      <c r="K102" s="8" t="inlineStr">
        <is>
          <t>Private Seller, Caledon Village</t>
        </is>
      </c>
      <c r="L102" s="18">
        <f>HYPERLINK("https://www.autotrader.ca/offers/tesla-model-y-performance-electric-white-cat_ma51520gr201431-4e3f9f75-23d7-428f-bac0-d7b93638477b","open")</f>
        <v/>
      </c>
      <c r="M102" s="8" t="inlineStr">
        <is>
          <t>Model Y scan 09-01</t>
        </is>
      </c>
    </row>
    <row r="103">
      <c r="A103" s="8" t="inlineStr">
        <is>
          <t>Toyota</t>
        </is>
      </c>
      <c r="B103" s="8" t="inlineStr">
        <is>
          <t>Grand Highlander</t>
        </is>
      </c>
      <c r="C103" s="9" t="inlineStr">
        <is>
          <t>Hybrid XLE AWD</t>
        </is>
      </c>
      <c r="D103" s="8" t="n">
        <v>2024</v>
      </c>
      <c r="E103" s="10" t="n">
        <v>45998</v>
      </c>
      <c r="F103" s="10" t="n">
        <v>58662</v>
      </c>
      <c r="G103" s="9" t="inlineStr">
        <is>
          <t>Toyota Canada Build &amp; Price all-in FROM (Hybrid XLE)</t>
        </is>
      </c>
      <c r="H103" s="16" t="n">
        <v>129233</v>
      </c>
      <c r="I103" s="17">
        <f>E103-F103</f>
        <v/>
      </c>
      <c r="J103" s="9" t="inlineStr">
        <is>
          <t>used / 2.5L NA hybrid / black</t>
        </is>
      </c>
      <c r="K103" s="8" t="inlineStr"/>
      <c r="L103" s="18">
        <f>HYPERLINK("https://www.autotrader.ca/offers/toyota-grand-highlander-hybrid-xle-awd-gas-electric-hybrid-black-cat_ma70gr202248va2866tr17571-f07ed02a-7a46-4cfa-9b35-02d123ddf62a","open")</f>
        <v/>
      </c>
      <c r="M103" s="8" t="inlineStr">
        <is>
          <t>Toyota scan 09-02</t>
        </is>
      </c>
    </row>
    <row r="104">
      <c r="A104" s="8" t="inlineStr">
        <is>
          <t>Toyota</t>
        </is>
      </c>
      <c r="B104" s="8" t="inlineStr">
        <is>
          <t>Grand Highlander</t>
        </is>
      </c>
      <c r="C104" s="9" t="inlineStr">
        <is>
          <t>Hybrid XLE AWD, leather</t>
        </is>
      </c>
      <c r="D104" s="8" t="n">
        <v>2025</v>
      </c>
      <c r="E104" s="10" t="n">
        <v>51499</v>
      </c>
      <c r="F104" s="10" t="n">
        <v>58662</v>
      </c>
      <c r="G104" s="9" t="inlineStr">
        <is>
          <t>Toyota Canada Build &amp; Price all-in FROM (Hybrid XLE)</t>
        </is>
      </c>
      <c r="H104" s="16" t="n">
        <v>100593</v>
      </c>
      <c r="I104" s="17">
        <f>E104-F104</f>
        <v/>
      </c>
      <c r="J104" s="9" t="inlineStr">
        <is>
          <t>used / 2.5L NA hybrid / blue</t>
        </is>
      </c>
      <c r="K104" s="8" t="inlineStr"/>
      <c r="L104" s="18">
        <f>HYPERLINK("https://www.autotrader.ca/offers/toyota-grand-highlander-hybrid-xle-awd-leather-safety-sense-alloys-gas-electric-hybrid-blue-cat_ma70gr202248va2866tr17571-286eccc7-eed7-4418-b10f-1aac6e69126a","open")</f>
        <v/>
      </c>
      <c r="M104" s="8" t="inlineStr">
        <is>
          <t>Toyota scan 09-02</t>
        </is>
      </c>
    </row>
    <row r="105">
      <c r="A105" s="8" t="inlineStr">
        <is>
          <t>Toyota</t>
        </is>
      </c>
      <c r="B105" s="8" t="inlineStr">
        <is>
          <t>Grand Highlander</t>
        </is>
      </c>
      <c r="C105" s="9" t="inlineStr">
        <is>
          <t>XLE AWD 8-seater</t>
        </is>
      </c>
      <c r="D105" s="8" t="n">
        <v>2025</v>
      </c>
      <c r="E105" s="10" t="n">
        <v>55995</v>
      </c>
      <c r="F105" s="10" t="n">
        <v>58662</v>
      </c>
      <c r="G105" s="9" t="inlineStr">
        <is>
          <t>Toyota Canada Build &amp; Price all-in FROM (Hybrid XLE)</t>
        </is>
      </c>
      <c r="H105" s="16" t="n">
        <v>90705</v>
      </c>
      <c r="I105" s="17">
        <f>E105-F105</f>
        <v/>
      </c>
      <c r="J105" s="9" t="inlineStr">
        <is>
          <t>used / 2.5L NA hybrid / black</t>
        </is>
      </c>
      <c r="K105" s="8" t="inlineStr"/>
      <c r="L105" s="18">
        <f>HYPERLINK("https://www.autotrader.ca/offers/toyota-grand-highlander-xle-awd-8-seater-back-up-cam-toyota-safety-sense-gas-electric-hybrid-black-cat_ma70gr202248va2866tr17571-edc597a2-da97-432f-b311-226539d44735","open")</f>
        <v/>
      </c>
      <c r="M105" s="8" t="inlineStr">
        <is>
          <t>Toyota scan 09-02</t>
        </is>
      </c>
    </row>
    <row r="106">
      <c r="A106" s="8" t="inlineStr">
        <is>
          <t>Toyota</t>
        </is>
      </c>
      <c r="B106" s="8" t="inlineStr">
        <is>
          <t>Grand Highlander</t>
        </is>
      </c>
      <c r="C106" s="9" t="inlineStr">
        <is>
          <t>Hybrid</t>
        </is>
      </c>
      <c r="D106" s="8" t="n">
        <v>2026</v>
      </c>
      <c r="E106" s="10" t="n">
        <v>58288</v>
      </c>
      <c r="F106" s="10" t="n">
        <v>58662</v>
      </c>
      <c r="G106" s="9" t="inlineStr">
        <is>
          <t>Toyota Canada Build &amp; Price all-in FROM (Hybrid XLE)</t>
        </is>
      </c>
      <c r="H106" s="16" t="n">
        <v>64015</v>
      </c>
      <c r="I106" s="17">
        <f>E106-F106</f>
        <v/>
      </c>
      <c r="J106" s="9" t="inlineStr">
        <is>
          <t>used / 2.5L NA hybrid / white</t>
        </is>
      </c>
      <c r="K106" s="8" t="inlineStr"/>
      <c r="L106" s="18">
        <f>HYPERLINK("https://www.autotrader.ca/offers/toyota-grand-highlander-gas-electric-hybrid-white-cat_ma70gr202248va2866-9560bf3c-891d-4697-a7f7-f0fbbe7ba663","open")</f>
        <v/>
      </c>
      <c r="M106" s="8" t="inlineStr">
        <is>
          <t>Toyota scan 09-02</t>
        </is>
      </c>
    </row>
    <row r="107">
      <c r="A107" s="8" t="inlineStr">
        <is>
          <t>Toyota</t>
        </is>
      </c>
      <c r="B107" s="8" t="inlineStr">
        <is>
          <t>Grand Highlander</t>
        </is>
      </c>
      <c r="C107" s="9" t="inlineStr">
        <is>
          <t>Hybrid Limited AWD, Toyota Certified</t>
        </is>
      </c>
      <c r="D107" s="8" t="n">
        <v>2025</v>
      </c>
      <c r="E107" s="10" t="n">
        <v>58500</v>
      </c>
      <c r="F107" s="10" t="n">
        <v>65997</v>
      </c>
      <c r="G107" s="9" t="inlineStr">
        <is>
          <t>Toyota Canada Build &amp; Price all-in FROM (Hybrid Limited)</t>
        </is>
      </c>
      <c r="H107" s="16" t="n">
        <v>84414</v>
      </c>
      <c r="I107" s="17">
        <f>E107-F107</f>
        <v/>
      </c>
      <c r="J107" s="9" t="inlineStr">
        <is>
          <t>used / 2.5L NA hybrid / white</t>
        </is>
      </c>
      <c r="K107" s="8" t="inlineStr"/>
      <c r="L107" s="18">
        <f>HYPERLINK("https://www.autotrader.ca/offers/toyota-grand-highlander-hybrid-limited-awd-toyota-certified-gas-electric-hybrid-white-cat_ma70gr202248va2866tr16983-fa2f8454-ce79-4af9-a380-05607bdf4ba7","open")</f>
        <v/>
      </c>
      <c r="M107" s="8" t="inlineStr">
        <is>
          <t>Toyota scan 09-02</t>
        </is>
      </c>
    </row>
    <row r="108">
      <c r="A108" s="8" t="inlineStr">
        <is>
          <t>Toyota</t>
        </is>
      </c>
      <c r="B108" s="8" t="inlineStr">
        <is>
          <t>Grand Highlander</t>
        </is>
      </c>
      <c r="C108" s="9" t="inlineStr">
        <is>
          <t>Hybrid XLE AWD, leather</t>
        </is>
      </c>
      <c r="D108" s="8" t="n">
        <v>2024</v>
      </c>
      <c r="E108" s="10" t="n">
        <v>58600</v>
      </c>
      <c r="F108" s="10" t="n">
        <v>58662</v>
      </c>
      <c r="G108" s="9" t="inlineStr">
        <is>
          <t>Toyota Canada Build &amp; Price all-in FROM (Hybrid XLE)</t>
        </is>
      </c>
      <c r="H108" s="16" t="n">
        <v>17925</v>
      </c>
      <c r="I108" s="17">
        <f>E108-F108</f>
        <v/>
      </c>
      <c r="J108" s="9" t="inlineStr">
        <is>
          <t>used / 2.5L NA hybrid / black</t>
        </is>
      </c>
      <c r="K108" s="8" t="inlineStr"/>
      <c r="L108" s="18">
        <f>HYPERLINK("https://www.autotrader.ca/offers/toyota-grand-highlander-hybrid-xle-awd-lthr-only-17-000kms-gas-electric-hybrid-black-cat_ma70gr202248va2866tr17571-507e4c66-18f5-46d1-8fc9-7bd75d04cbff","open")</f>
        <v/>
      </c>
      <c r="M108" s="8" t="inlineStr">
        <is>
          <t>Toyota scan 09-02</t>
        </is>
      </c>
    </row>
    <row r="109">
      <c r="A109" s="8" t="inlineStr">
        <is>
          <t>Toyota</t>
        </is>
      </c>
      <c r="B109" s="8" t="inlineStr">
        <is>
          <t>Grand Highlander</t>
        </is>
      </c>
      <c r="C109" s="9" t="inlineStr">
        <is>
          <t>Hybrid XLE AWD</t>
        </is>
      </c>
      <c r="D109" s="8" t="n">
        <v>2024</v>
      </c>
      <c r="E109" s="10" t="n">
        <v>58998</v>
      </c>
      <c r="F109" s="10" t="n">
        <v>58662</v>
      </c>
      <c r="G109" s="9" t="inlineStr">
        <is>
          <t>Toyota Canada Build &amp; Price all-in FROM (Hybrid XLE)</t>
        </is>
      </c>
      <c r="H109" s="16" t="n">
        <v>36599</v>
      </c>
      <c r="I109" s="17">
        <f>E109-F109</f>
        <v/>
      </c>
      <c r="J109" s="9" t="inlineStr">
        <is>
          <t>used / 2.5L NA hybrid / white</t>
        </is>
      </c>
      <c r="K109" s="8" t="inlineStr"/>
      <c r="L109" s="18">
        <f>HYPERLINK("https://www.autotrader.ca/offers/toyota-grand-highlander-hybrid-xle-awd-gas-electric-hybrid-white-cat_ma70gr202248va2866tr17571-dd02d924-5624-4b43-a5e8-bc5212101694","open")</f>
        <v/>
      </c>
      <c r="M109" s="8" t="inlineStr">
        <is>
          <t>Toyota scan 09-02</t>
        </is>
      </c>
    </row>
    <row r="110">
      <c r="A110" s="8" t="inlineStr">
        <is>
          <t>Toyota</t>
        </is>
      </c>
      <c r="B110" s="8" t="inlineStr">
        <is>
          <t>Grand Highlander</t>
        </is>
      </c>
      <c r="C110" s="9" t="inlineStr">
        <is>
          <t>XLE</t>
        </is>
      </c>
      <c r="D110" s="8" t="n">
        <v>2026</v>
      </c>
      <c r="E110" s="10" t="n">
        <v>61914</v>
      </c>
      <c r="F110" s="10" t="n">
        <v>58662</v>
      </c>
      <c r="G110" s="9" t="inlineStr">
        <is>
          <t>Toyota Canada Build &amp; Price all-in FROM (Hybrid XLE)</t>
        </is>
      </c>
      <c r="H110" s="16" t="n">
        <v>10</v>
      </c>
      <c r="I110" s="17">
        <f>E110-F110</f>
        <v/>
      </c>
      <c r="J110" s="9" t="inlineStr">
        <is>
          <t>NEW / 2.5L NA hybrid / silver</t>
        </is>
      </c>
      <c r="K110" s="8" t="inlineStr"/>
      <c r="L110" s="18">
        <f>HYPERLINK("https://www.autotrader.ca/offers/toyota-grand-highlander-xle-gas-electric-hybrid-silver-cat_ma70gr202248va2866-39d24969-96c0-4d5e-aa75-a2c3a240eceb","open")</f>
        <v/>
      </c>
      <c r="M110" s="8" t="inlineStr">
        <is>
          <t>Toyota scan 09-02</t>
        </is>
      </c>
    </row>
    <row r="111">
      <c r="A111" s="8" t="inlineStr">
        <is>
          <t>Toyota</t>
        </is>
      </c>
      <c r="B111" s="8" t="inlineStr">
        <is>
          <t>Grand Highlander</t>
        </is>
      </c>
      <c r="C111" s="9" t="inlineStr">
        <is>
          <t>XLE AWD</t>
        </is>
      </c>
      <c r="D111" s="8" t="n">
        <v>2025</v>
      </c>
      <c r="E111" s="10" t="n">
        <v>61988</v>
      </c>
      <c r="F111" s="10" t="n">
        <v>58662</v>
      </c>
      <c r="G111" s="9" t="inlineStr">
        <is>
          <t>Toyota Canada Build &amp; Price all-in FROM (Hybrid XLE)</t>
        </is>
      </c>
      <c r="H111" s="16" t="n">
        <v>20005</v>
      </c>
      <c r="I111" s="17">
        <f>E111-F111</f>
        <v/>
      </c>
      <c r="J111" s="9" t="inlineStr">
        <is>
          <t>used / 2.5L NA hybrid / blue</t>
        </is>
      </c>
      <c r="K111" s="8" t="inlineStr"/>
      <c r="L111" s="18">
        <f>HYPERLINK("https://www.autotrader.ca/offers/toyota-grand-highlander-xle-awd-finance-price-advertised-wireless-carpla-gas-electric-hybrid-blue-cat_ma70gr202248va2866tr17571-2a57bfe5-af70-4cee-b5ff-2451ab05bb51","open")</f>
        <v/>
      </c>
      <c r="M111" s="8" t="inlineStr">
        <is>
          <t>Toyota scan 09-02</t>
        </is>
      </c>
    </row>
    <row r="112">
      <c r="A112" s="8" t="inlineStr">
        <is>
          <t>Toyota</t>
        </is>
      </c>
      <c r="B112" s="8" t="inlineStr">
        <is>
          <t>Grand Highlander</t>
        </is>
      </c>
      <c r="C112" s="9" t="inlineStr">
        <is>
          <t>Hybrid XLE</t>
        </is>
      </c>
      <c r="D112" s="8" t="n">
        <v>2026</v>
      </c>
      <c r="E112" s="10" t="n">
        <v>62417</v>
      </c>
      <c r="F112" s="10" t="n">
        <v>58662</v>
      </c>
      <c r="G112" s="9" t="inlineStr">
        <is>
          <t>Toyota Canada Build &amp; Price all-in FROM (Hybrid XLE)</t>
        </is>
      </c>
      <c r="H112" s="16" t="n">
        <v>0</v>
      </c>
      <c r="I112" s="17">
        <f>E112-F112</f>
        <v/>
      </c>
      <c r="J112" s="9" t="inlineStr">
        <is>
          <t>NEW / 2.5L NA hybrid / white</t>
        </is>
      </c>
      <c r="K112" s="8" t="inlineStr"/>
      <c r="L112" s="18">
        <f>HYPERLINK("https://www.autotrader.ca/offers/toyota-grand-highlander-hybrid-xle-factory-order-gas-electric-hybrid-white-cat_ma70gr202248va2866tr17571-4ff02eaa-300a-4535-9d3b-9616465bf58a","open")</f>
        <v/>
      </c>
      <c r="M112" s="8" t="inlineStr">
        <is>
          <t>Toyota scan 09-02</t>
        </is>
      </c>
    </row>
    <row r="113">
      <c r="A113" s="8" t="inlineStr">
        <is>
          <t>Toyota</t>
        </is>
      </c>
      <c r="B113" s="8" t="inlineStr">
        <is>
          <t>Grand Highlander</t>
        </is>
      </c>
      <c r="C113" s="9" t="inlineStr">
        <is>
          <t>XLE, leather + sunroof</t>
        </is>
      </c>
      <c r="D113" s="8" t="n">
        <v>2025</v>
      </c>
      <c r="E113" s="10" t="n">
        <v>64495</v>
      </c>
      <c r="F113" s="10" t="n">
        <v>58662</v>
      </c>
      <c r="G113" s="9" t="inlineStr">
        <is>
          <t>Toyota Canada Build &amp; Price all-in FROM (Hybrid XLE)</t>
        </is>
      </c>
      <c r="H113" s="16" t="n">
        <v>20758</v>
      </c>
      <c r="I113" s="17">
        <f>E113-F113</f>
        <v/>
      </c>
      <c r="J113" s="9" t="inlineStr">
        <is>
          <t>used / 2.5L NA hybrid / silver</t>
        </is>
      </c>
      <c r="K113" s="8" t="inlineStr"/>
      <c r="L113" s="18">
        <f>HYPERLINK("https://www.autotrader.ca/offers/toyota-grand-highlander-xle-leather-sunroof-alloys-gas-electric-hybrid-silver-cat_ma70gr202248va2866tr17571-7c5d7b21-cf33-47f3-9f12-8742f279f1e2","open")</f>
        <v/>
      </c>
      <c r="M113" s="8" t="inlineStr">
        <is>
          <t>Toyota scan 09-02</t>
        </is>
      </c>
    </row>
    <row r="114">
      <c r="A114" s="8" t="inlineStr">
        <is>
          <t>Toyota</t>
        </is>
      </c>
      <c r="B114" s="8" t="inlineStr">
        <is>
          <t>Grand Highlander</t>
        </is>
      </c>
      <c r="C114" s="9" t="inlineStr">
        <is>
          <t>Hybrid Limited</t>
        </is>
      </c>
      <c r="D114" s="8" t="n">
        <v>2026</v>
      </c>
      <c r="E114" s="10" t="n">
        <v>69752</v>
      </c>
      <c r="F114" s="10" t="n">
        <v>65997</v>
      </c>
      <c r="G114" s="9" t="inlineStr">
        <is>
          <t>Toyota Canada Build &amp; Price all-in FROM (Hybrid Limited)</t>
        </is>
      </c>
      <c r="H114" s="16" t="n">
        <v>0</v>
      </c>
      <c r="I114" s="17">
        <f>E114-F114</f>
        <v/>
      </c>
      <c r="J114" s="9" t="inlineStr">
        <is>
          <t>NEW / 2.5L NA hybrid / white</t>
        </is>
      </c>
      <c r="K114" s="8" t="inlineStr"/>
      <c r="L114" s="18">
        <f>HYPERLINK("https://www.autotrader.ca/offers/toyota-grand-highlander-hybrid-limited-factory-order-gas-electric-hybrid-white-cat_ma70gr202248va2866tr16983-ddfc780e-6d7f-4bf3-a4b2-540f27e5d599","open")</f>
        <v/>
      </c>
      <c r="M114" s="8" t="inlineStr">
        <is>
          <t>Toyota scan 09-02</t>
        </is>
      </c>
    </row>
    <row r="115">
      <c r="A115" s="8" t="inlineStr">
        <is>
          <t>Toyota</t>
        </is>
      </c>
      <c r="B115" s="8" t="inlineStr">
        <is>
          <t>Grand Highlander</t>
        </is>
      </c>
      <c r="C115" s="9" t="inlineStr">
        <is>
          <t>Limited</t>
        </is>
      </c>
      <c r="D115" s="8" t="n">
        <v>2026</v>
      </c>
      <c r="E115" s="10" t="n">
        <v>70599</v>
      </c>
      <c r="F115" s="10" t="n">
        <v>65997</v>
      </c>
      <c r="G115" s="9" t="inlineStr">
        <is>
          <t>Toyota Canada Build &amp; Price all-in FROM (Hybrid Limited)</t>
        </is>
      </c>
      <c r="H115" s="16" t="n">
        <v>10</v>
      </c>
      <c r="I115" s="17">
        <f>E115-F115</f>
        <v/>
      </c>
      <c r="J115" s="9" t="inlineStr">
        <is>
          <t>NEW / 2.5L NA hybrid / grey</t>
        </is>
      </c>
      <c r="K115" s="8" t="inlineStr"/>
      <c r="L115" s="18">
        <f>HYPERLINK("https://www.autotrader.ca/offers/toyota-grand-highlander-limited-gas-electric-hybrid-grey-cat_ma70gr202248va2866tr16983-8cc3f8eb-793e-4308-9379-f78eb785f0a5","open")</f>
        <v/>
      </c>
      <c r="M115" s="8" t="inlineStr">
        <is>
          <t>Toyota scan 09-02</t>
        </is>
      </c>
    </row>
    <row r="116">
      <c r="A116" s="8" t="inlineStr">
        <is>
          <t>Toyota</t>
        </is>
      </c>
      <c r="B116" s="8" t="inlineStr">
        <is>
          <t>Grand Highlander</t>
        </is>
      </c>
      <c r="C116" s="9" t="inlineStr">
        <is>
          <t>Hybrid MAX Platinum</t>
        </is>
      </c>
      <c r="D116" s="8" t="n">
        <v>2026</v>
      </c>
      <c r="E116" s="10" t="n">
        <v>73992</v>
      </c>
      <c r="F116" s="10" t="n">
        <v>70257</v>
      </c>
      <c r="G116" s="9" t="inlineStr">
        <is>
          <t>Toyota Canada Build &amp; Price all-in FROM (Platinum Hybrid MAX)</t>
        </is>
      </c>
      <c r="H116" s="16" t="n">
        <v>0</v>
      </c>
      <c r="I116" s="17">
        <f>E116-F116</f>
        <v/>
      </c>
      <c r="J116" s="9" t="inlineStr">
        <is>
          <t>NEW / HYBRID MAX (2.4 turbo) / grey</t>
        </is>
      </c>
      <c r="K116" s="8" t="inlineStr"/>
      <c r="L116" s="18">
        <f>HYPERLINK("https://www.autotrader.ca/offers/toyota-grand-highlander-hybrid-max-platinum-factory-order-gas-electric-hybrid-grey-cat_ma70gr202248va2866tr479020-9251cf14-9cb5-4bf2-bf1d-e0dd16eb070f","open")</f>
        <v/>
      </c>
      <c r="M116" s="8" t="inlineStr">
        <is>
          <t>Toyota scan 09-02</t>
        </is>
      </c>
    </row>
    <row r="117">
      <c r="A117" s="8" t="inlineStr">
        <is>
          <t>Toyota</t>
        </is>
      </c>
      <c r="B117" s="8" t="inlineStr">
        <is>
          <t>Grand Highlander</t>
        </is>
      </c>
      <c r="C117" s="9" t="inlineStr">
        <is>
          <t>Platinum MAX, moonroof, 7-seat</t>
        </is>
      </c>
      <c r="D117" s="8" t="n">
        <v>2026</v>
      </c>
      <c r="E117" s="10" t="n">
        <v>84990</v>
      </c>
      <c r="F117" s="10" t="n">
        <v>70257</v>
      </c>
      <c r="G117" s="9" t="inlineStr">
        <is>
          <t>Toyota Canada Build &amp; Price all-in FROM (Platinum Hybrid MAX)</t>
        </is>
      </c>
      <c r="H117" s="16" t="n">
        <v>50</v>
      </c>
      <c r="I117" s="17">
        <f>E117-F117</f>
        <v/>
      </c>
      <c r="J117" s="9" t="inlineStr">
        <is>
          <t>NEW / HYBRID MAX (2.4 turbo) / grey</t>
        </is>
      </c>
      <c r="K117" s="8" t="inlineStr"/>
      <c r="L117" s="18">
        <f>HYPERLINK("https://www.autotrader.ca/offers/toyota-grand-highlander-platinum-max-clean-carfax-moonroof-7-seaters-gas-electric-hybrid-grey-cat_ma70gr202248va2866tr479020-b329ccfd-7007-4e6b-9269-cebc03bfd3b2","open")</f>
        <v/>
      </c>
      <c r="M117" s="8" t="inlineStr">
        <is>
          <t>Toyota scan 09-02</t>
        </is>
      </c>
    </row>
    <row r="118">
      <c r="A118" s="8" t="inlineStr">
        <is>
          <t>Toyota</t>
        </is>
      </c>
      <c r="B118" s="8" t="inlineStr">
        <is>
          <t>Grand Highlander</t>
        </is>
      </c>
      <c r="C118" s="9" t="inlineStr">
        <is>
          <t>Platinum MAX, moonroof, 7-seat</t>
        </is>
      </c>
      <c r="D118" s="8" t="n">
        <v>2026</v>
      </c>
      <c r="E118" s="10" t="n">
        <v>84990</v>
      </c>
      <c r="F118" s="10" t="n">
        <v>70257</v>
      </c>
      <c r="G118" s="9" t="inlineStr">
        <is>
          <t>Toyota Canada Build &amp; Price all-in FROM (Platinum Hybrid MAX)</t>
        </is>
      </c>
      <c r="H118" s="16" t="n">
        <v>100</v>
      </c>
      <c r="I118" s="17">
        <f>E118-F118</f>
        <v/>
      </c>
      <c r="J118" s="9" t="inlineStr">
        <is>
          <t>NEW / HYBRID MAX (2.4 turbo) / white</t>
        </is>
      </c>
      <c r="K118" s="8" t="inlineStr"/>
      <c r="L118" s="18">
        <f>HYPERLINK("https://www.autotrader.ca/offers/toyota-grand-highlander-platinum-max-clean-carfax-moonroof-7-seaters-gas-electric-hybrid-white-cat_ma70gr202248va2866tr479020-181a33e8-50ac-45f3-9e45-4b2914253f80","open")</f>
        <v/>
      </c>
      <c r="M118" s="8" t="inlineStr">
        <is>
          <t>Toyota scan 09-02</t>
        </is>
      </c>
    </row>
    <row r="119">
      <c r="A119" s="8" t="inlineStr">
        <is>
          <t>Toyota</t>
        </is>
      </c>
      <c r="B119" s="8" t="inlineStr">
        <is>
          <t>Highlander</t>
        </is>
      </c>
      <c r="C119" s="9" t="inlineStr">
        <is>
          <t>Hybrid XLE, no accidents</t>
        </is>
      </c>
      <c r="D119" s="8" t="n">
        <v>2024</v>
      </c>
      <c r="E119" s="10" t="n">
        <v>49500</v>
      </c>
      <c r="F119" s="10" t="n"/>
      <c r="G119" s="9" t="inlineStr">
        <is>
          <t>Highlander MSRP not pulled</t>
        </is>
      </c>
      <c r="H119" s="16" t="n">
        <v>64488</v>
      </c>
      <c r="I119" s="8" t="n"/>
      <c r="J119" s="9" t="inlineStr">
        <is>
          <t>used / 2.5L NA hybrid / blue</t>
        </is>
      </c>
      <c r="K119" s="8" t="inlineStr"/>
      <c r="L119" s="18">
        <f>HYPERLINK("https://www.autotrader.ca/offers/toyota-highlander-hybrid-xle-no-accident-hybrid-save-gas-clean-gas-electric-hybrid-blue-cat_ma70gr201461va2512tr15456-6258d6e0-367e-425a-9e99-270e0a7b2d34","open")</f>
        <v/>
      </c>
      <c r="M119" s="8" t="inlineStr">
        <is>
          <t>Toyota scan 09-02</t>
        </is>
      </c>
    </row>
    <row r="120">
      <c r="A120" s="8" t="inlineStr">
        <is>
          <t>Toyota</t>
        </is>
      </c>
      <c r="B120" s="8" t="inlineStr">
        <is>
          <t>Highlander</t>
        </is>
      </c>
      <c r="C120" s="9" t="inlineStr">
        <is>
          <t>Hybrid XLE, one owner, no accidents</t>
        </is>
      </c>
      <c r="D120" s="8" t="n">
        <v>2024</v>
      </c>
      <c r="E120" s="10" t="n">
        <v>51988</v>
      </c>
      <c r="F120" s="10" t="n"/>
      <c r="G120" s="9" t="inlineStr">
        <is>
          <t>Highlander MSRP not pulled</t>
        </is>
      </c>
      <c r="H120" s="16" t="n">
        <v>55976</v>
      </c>
      <c r="I120" s="8" t="n"/>
      <c r="J120" s="9" t="inlineStr">
        <is>
          <t>used / 2.5L NA hybrid / black</t>
        </is>
      </c>
      <c r="K120" s="8" t="inlineStr"/>
      <c r="L120" s="18">
        <f>HYPERLINK("https://www.autotrader.ca/offers/toyota-highlander-hybrid-xle-one-owner-no-accidents-aucun-accident-gas-electric-hybrid-black-cat_ma70gr201461va2512tr15456-9c75bfa0-ac64-4ed5-94a5-611795a7e92a","open")</f>
        <v/>
      </c>
      <c r="M120" s="8" t="inlineStr">
        <is>
          <t>Toyota scan 09-02</t>
        </is>
      </c>
    </row>
    <row r="121">
      <c r="A121" s="8" t="inlineStr">
        <is>
          <t>Toyota</t>
        </is>
      </c>
      <c r="B121" s="8" t="inlineStr">
        <is>
          <t>Highlander</t>
        </is>
      </c>
      <c r="C121" s="9" t="inlineStr">
        <is>
          <t>Hybrid XLE AWD, accident free</t>
        </is>
      </c>
      <c r="D121" s="8" t="n">
        <v>2025</v>
      </c>
      <c r="E121" s="10" t="n">
        <v>53077</v>
      </c>
      <c r="F121" s="10" t="n"/>
      <c r="G121" s="9" t="inlineStr">
        <is>
          <t>Highlander MSRP not pulled</t>
        </is>
      </c>
      <c r="H121" s="16" t="n">
        <v>60501</v>
      </c>
      <c r="I121" s="8" t="n"/>
      <c r="J121" s="9" t="inlineStr">
        <is>
          <t>used / 2.5L NA hybrid / white</t>
        </is>
      </c>
      <c r="K121" s="8" t="inlineStr"/>
      <c r="L121" s="18">
        <f>HYPERLINK("https://www.autotrader.ca/offers/toyota-highlander-hybrid-xle-awd-accident-free-leather-sunro-gas-electric-hybrid-white-cat_ma70gr201461va2512tr15456-10f6e3ff-213b-45ab-984a-f95af3688f46","open")</f>
        <v/>
      </c>
      <c r="M121" s="8" t="inlineStr">
        <is>
          <t>Toyota scan 09-02</t>
        </is>
      </c>
    </row>
    <row r="122">
      <c r="A122" s="8" t="inlineStr">
        <is>
          <t>Toyota</t>
        </is>
      </c>
      <c r="B122" s="8" t="inlineStr">
        <is>
          <t>Highlander</t>
        </is>
      </c>
      <c r="C122" s="9" t="inlineStr">
        <is>
          <t>Hybrid LE, Toyota Certified</t>
        </is>
      </c>
      <c r="D122" s="8" t="n">
        <v>2025</v>
      </c>
      <c r="E122" s="10" t="n">
        <v>55500</v>
      </c>
      <c r="F122" s="10" t="n"/>
      <c r="G122" s="9" t="inlineStr">
        <is>
          <t>Highlander MSRP not pulled</t>
        </is>
      </c>
      <c r="H122" s="16" t="n">
        <v>20227</v>
      </c>
      <c r="I122" s="8" t="n"/>
      <c r="J122" s="9" t="inlineStr">
        <is>
          <t>used / 2.5L NA hybrid / grey</t>
        </is>
      </c>
      <c r="K122" s="8" t="inlineStr"/>
      <c r="L122" s="18">
        <f>HYPERLINK("https://www.autotrader.ca/offers/toyota-highlander-hybrid-le-toyota-certified-gas-electric-hybrid-grey-cat_ma70gr201461va2512tr11925-c59b7632-ce58-4ee2-95b5-d8f8559d6f73","open")</f>
        <v/>
      </c>
      <c r="M122" s="8" t="inlineStr">
        <is>
          <t>Toyota scan 09-02</t>
        </is>
      </c>
    </row>
    <row r="123">
      <c r="A123" s="8" t="inlineStr">
        <is>
          <t>Toyota</t>
        </is>
      </c>
      <c r="B123" s="8" t="inlineStr">
        <is>
          <t>Highlander</t>
        </is>
      </c>
      <c r="C123" s="9" t="inlineStr">
        <is>
          <t>Hybrid Limited</t>
        </is>
      </c>
      <c r="D123" s="8" t="n">
        <v>2024</v>
      </c>
      <c r="E123" s="10" t="n">
        <v>56750</v>
      </c>
      <c r="F123" s="10" t="n"/>
      <c r="G123" s="9" t="inlineStr">
        <is>
          <t>Highlander MSRP not pulled</t>
        </is>
      </c>
      <c r="H123" s="16" t="n">
        <v>55392</v>
      </c>
      <c r="I123" s="8" t="n"/>
      <c r="J123" s="9" t="inlineStr">
        <is>
          <t>used / 2.5L NA hybrid / n/a</t>
        </is>
      </c>
      <c r="K123" s="8" t="inlineStr"/>
      <c r="L123" s="18">
        <f>HYPERLINK("https://www.autotrader.ca/offers/toyota-highlander-hybrid-limited-gas-electric-hybrid-cat_ma70gr201461va2512tr11813-e83cf4f9-da11-4751-a600-1ea966e2d6f2","open")</f>
        <v/>
      </c>
      <c r="M123" s="8" t="inlineStr">
        <is>
          <t>Toyota scan 09-02</t>
        </is>
      </c>
    </row>
    <row r="124">
      <c r="A124" s="8" t="inlineStr">
        <is>
          <t>Toyota</t>
        </is>
      </c>
      <c r="B124" s="8" t="inlineStr">
        <is>
          <t>Highlander</t>
        </is>
      </c>
      <c r="C124" s="9" t="inlineStr">
        <is>
          <t>Hybrid XLE</t>
        </is>
      </c>
      <c r="D124" s="8" t="n">
        <v>2025</v>
      </c>
      <c r="E124" s="10" t="n">
        <v>56900</v>
      </c>
      <c r="F124" s="10" t="n"/>
      <c r="G124" s="9" t="inlineStr">
        <is>
          <t>Highlander MSRP not pulled</t>
        </is>
      </c>
      <c r="H124" s="16" t="n">
        <v>21809</v>
      </c>
      <c r="I124" s="8" t="n"/>
      <c r="J124" s="9" t="inlineStr">
        <is>
          <t>used / 2.5L NA hybrid / grey</t>
        </is>
      </c>
      <c r="K124" s="8" t="inlineStr"/>
      <c r="L124" s="18">
        <f>HYPERLINK("https://www.autotrader.ca/offers/toyota-highlander-xle-gas-electric-hybrid-grey-cat_ma70gr201461va2512tr15456-1c0e70ae-3945-4d2c-b7ab-e2e1fcf1e83b","open")</f>
        <v/>
      </c>
      <c r="M124" s="8" t="inlineStr">
        <is>
          <t>Toyota scan 09-02</t>
        </is>
      </c>
    </row>
    <row r="125">
      <c r="A125" s="8" t="inlineStr">
        <is>
          <t>Toyota</t>
        </is>
      </c>
      <c r="B125" s="8" t="inlineStr">
        <is>
          <t>Highlander</t>
        </is>
      </c>
      <c r="C125" s="9" t="inlineStr">
        <is>
          <t>Hybrid XLE Nightshade</t>
        </is>
      </c>
      <c r="D125" s="8" t="n">
        <v>2025</v>
      </c>
      <c r="E125" s="10" t="n">
        <v>57583</v>
      </c>
      <c r="F125" s="10" t="n"/>
      <c r="G125" s="9" t="inlineStr">
        <is>
          <t>Highlander MSRP not pulled</t>
        </is>
      </c>
      <c r="H125" s="16" t="n">
        <v>24580</v>
      </c>
      <c r="I125" s="8" t="n"/>
      <c r="J125" s="9" t="inlineStr">
        <is>
          <t>used / 2.5L NA hybrid / grey</t>
        </is>
      </c>
      <c r="K125" s="8" t="inlineStr"/>
      <c r="L125" s="18">
        <f>HYPERLINK("https://www.autotrader.ca/offers/toyota-highlander-xle-rare-nightshade-edition-cement-colour-gas-electric-hybrid-grey-cat_ma70gr201461va2512tr15456-bf07a127-e9e9-4dd7-9ca6-6f8a6f72ae2a","open")</f>
        <v/>
      </c>
      <c r="M125" s="8" t="inlineStr">
        <is>
          <t>Toyota scan 09-02</t>
        </is>
      </c>
    </row>
    <row r="126">
      <c r="A126" s="8" t="inlineStr">
        <is>
          <t>Toyota</t>
        </is>
      </c>
      <c r="B126" s="8" t="inlineStr">
        <is>
          <t>Highlander</t>
        </is>
      </c>
      <c r="C126" s="9" t="inlineStr">
        <is>
          <t>Hybrid Limited AWD</t>
        </is>
      </c>
      <c r="D126" s="8" t="n">
        <v>2025</v>
      </c>
      <c r="E126" s="10" t="n">
        <v>60990</v>
      </c>
      <c r="F126" s="10" t="n"/>
      <c r="G126" s="9" t="inlineStr">
        <is>
          <t>Highlander MSRP not pulled</t>
        </is>
      </c>
      <c r="H126" s="16" t="n">
        <v>41757</v>
      </c>
      <c r="I126" s="8" t="n"/>
      <c r="J126" s="9" t="inlineStr">
        <is>
          <t>used / 2.5L NA hybrid / grey</t>
        </is>
      </c>
      <c r="K126" s="8" t="inlineStr"/>
      <c r="L126" s="18">
        <f>HYPERLINK("https://www.autotrader.ca/offers/toyota-highlander-limited-awd-leather-sunroof-bluetooth-gas-electric-hybrid-grey-cat_ma70gr201461va2512tr11813-facf74bb-d688-47c1-8dd3-18cdbab0ce92","open")</f>
        <v/>
      </c>
      <c r="M126" s="8" t="inlineStr">
        <is>
          <t>Toyota scan 09-02</t>
        </is>
      </c>
    </row>
    <row r="127">
      <c r="A127" s="8" t="inlineStr">
        <is>
          <t>Toyota</t>
        </is>
      </c>
      <c r="B127" s="8" t="inlineStr">
        <is>
          <t>Highlander</t>
        </is>
      </c>
      <c r="C127" s="9" t="inlineStr">
        <is>
          <t>Hybrid XLE</t>
        </is>
      </c>
      <c r="D127" s="8" t="n">
        <v>2026</v>
      </c>
      <c r="E127" s="10" t="n">
        <v>61687</v>
      </c>
      <c r="F127" s="10" t="n"/>
      <c r="G127" s="9" t="inlineStr">
        <is>
          <t>Highlander MSRP not pulled</t>
        </is>
      </c>
      <c r="H127" s="16" t="n">
        <v>0</v>
      </c>
      <c r="I127" s="8" t="n"/>
      <c r="J127" s="9" t="inlineStr">
        <is>
          <t>NEW / 2.5L NA hybrid / blue</t>
        </is>
      </c>
      <c r="K127" s="8" t="inlineStr"/>
      <c r="L127" s="18">
        <f>HYPERLINK("https://www.autotrader.ca/offers/toyota-highlander-xle-factory-order-gas-electric-hybrid-blue-cat_ma70gr201461va2512tr15456-7f1fe95a-0da6-4171-ba18-16de1a6a59a0","open")</f>
        <v/>
      </c>
      <c r="M127" s="8" t="inlineStr">
        <is>
          <t>Toyota scan 09-02</t>
        </is>
      </c>
    </row>
    <row r="128">
      <c r="A128" s="8" t="inlineStr">
        <is>
          <t>Toyota</t>
        </is>
      </c>
      <c r="B128" s="8" t="inlineStr">
        <is>
          <t>Highlander</t>
        </is>
      </c>
      <c r="C128" s="9" t="inlineStr">
        <is>
          <t>Hybrid Limited, one owner, no accidents</t>
        </is>
      </c>
      <c r="D128" s="8" t="n">
        <v>2024</v>
      </c>
      <c r="E128" s="10" t="n">
        <v>62888</v>
      </c>
      <c r="F128" s="10" t="n"/>
      <c r="G128" s="9" t="inlineStr">
        <is>
          <t>Highlander MSRP not pulled</t>
        </is>
      </c>
      <c r="H128" s="16" t="n">
        <v>15282</v>
      </c>
      <c r="I128" s="8" t="n"/>
      <c r="J128" s="9" t="inlineStr">
        <is>
          <t>used / 2.5L NA hybrid / silver</t>
        </is>
      </c>
      <c r="K128" s="8" t="inlineStr"/>
      <c r="L128" s="18">
        <f>HYPERLINK("https://www.autotrader.ca/offers/toyota-highlander-hybrid-limited-one-owner-no-accidents-aucun-acci-gas-electric-hybrid-silver-cat_ma70gr201461va2512tr11813-2a916919-da53-4fae-80e5-2851e40c0817","open")</f>
        <v/>
      </c>
      <c r="M128" s="8" t="inlineStr">
        <is>
          <t>Toyota scan 09-02</t>
        </is>
      </c>
    </row>
    <row r="129">
      <c r="A129" s="8" t="inlineStr">
        <is>
          <t>Toyota</t>
        </is>
      </c>
      <c r="B129" s="8" t="inlineStr">
        <is>
          <t>Highlander</t>
        </is>
      </c>
      <c r="C129" s="9" t="inlineStr">
        <is>
          <t>Hybrid Limited AWD, pano roof</t>
        </is>
      </c>
      <c r="D129" s="8" t="n">
        <v>2025</v>
      </c>
      <c r="E129" s="10" t="n">
        <v>63995</v>
      </c>
      <c r="F129" s="10" t="n"/>
      <c r="G129" s="9" t="inlineStr">
        <is>
          <t>Highlander MSRP not pulled</t>
        </is>
      </c>
      <c r="H129" s="16" t="n">
        <v>21488</v>
      </c>
      <c r="I129" s="8" t="n"/>
      <c r="J129" s="9" t="inlineStr">
        <is>
          <t>used / 2.5L NA hybrid / blue</t>
        </is>
      </c>
      <c r="K129" s="8" t="inlineStr"/>
      <c r="L129" s="18">
        <f>HYPERLINK("https://www.autotrader.ca/offers/toyota-highlander-hybrid-limited-awd-pano-roof-navi-wireless-gas-electric-hybrid-blue-cat_ma70gr201461va2512tr11813-72679027-064c-4923-b425-d23d22b44ca9","open")</f>
        <v/>
      </c>
      <c r="M129" s="8" t="inlineStr">
        <is>
          <t>Toyota scan 09-02</t>
        </is>
      </c>
    </row>
    <row r="130">
      <c r="A130" s="8" t="inlineStr">
        <is>
          <t>Toyota</t>
        </is>
      </c>
      <c r="B130" s="8" t="inlineStr">
        <is>
          <t>Highlander</t>
        </is>
      </c>
      <c r="C130" s="9" t="inlineStr">
        <is>
          <t>Hybrid Limited AWD</t>
        </is>
      </c>
      <c r="D130" s="8" t="n">
        <v>2026</v>
      </c>
      <c r="E130" s="10" t="n">
        <v>65431</v>
      </c>
      <c r="F130" s="10" t="n"/>
      <c r="G130" s="9" t="inlineStr">
        <is>
          <t>Highlander MSRP not pulled</t>
        </is>
      </c>
      <c r="H130" s="16" t="n">
        <v>0</v>
      </c>
      <c r="I130" s="8" t="n"/>
      <c r="J130" s="9" t="inlineStr">
        <is>
          <t>NEW / 2.5L NA hybrid / white</t>
        </is>
      </c>
      <c r="K130" s="8" t="inlineStr"/>
      <c r="L130" s="18">
        <f>HYPERLINK("https://www.autotrader.ca/offers/toyota-highlander-hybrid-limited-awd-incoming-unit-gas-electric-hybrid-white-cat_ma70gr201461va2512tr11813-1232470e-7973-4aee-b2d6-1e2c155b8b1a","open")</f>
        <v/>
      </c>
      <c r="M130" s="8" t="inlineStr">
        <is>
          <t>Toyota scan 09-02</t>
        </is>
      </c>
    </row>
    <row r="131">
      <c r="A131" s="8" t="inlineStr">
        <is>
          <t>Toyota</t>
        </is>
      </c>
      <c r="B131" s="8" t="inlineStr">
        <is>
          <t>Highlander</t>
        </is>
      </c>
      <c r="C131" s="9" t="inlineStr">
        <is>
          <t>Hybrid Limited</t>
        </is>
      </c>
      <c r="D131" s="8" t="n">
        <v>2026</v>
      </c>
      <c r="E131" s="10" t="n">
        <v>67067</v>
      </c>
      <c r="F131" s="10" t="n"/>
      <c r="G131" s="9" t="inlineStr">
        <is>
          <t>Highlander MSRP not pulled</t>
        </is>
      </c>
      <c r="H131" s="16" t="n">
        <v>0</v>
      </c>
      <c r="I131" s="8" t="n"/>
      <c r="J131" s="9" t="inlineStr">
        <is>
          <t>NEW / 2.5L NA hybrid / white</t>
        </is>
      </c>
      <c r="K131" s="8" t="inlineStr"/>
      <c r="L131" s="18">
        <f>HYPERLINK("https://www.autotrader.ca/offers/toyota-highlander-limited-factory-order-gas-electric-hybrid-white-cat_ma70gr201461va2512tr11813-a369e150-57e7-472e-9663-a548502b1029","open")</f>
        <v/>
      </c>
      <c r="M131" s="8" t="inlineStr">
        <is>
          <t>Toyota scan 09-02</t>
        </is>
      </c>
    </row>
    <row r="132">
      <c r="A132" s="8" t="inlineStr">
        <is>
          <t>Volvo</t>
        </is>
      </c>
      <c r="B132" s="8" t="inlineStr">
        <is>
          <t>XC90</t>
        </is>
      </c>
      <c r="C132" s="9" t="inlineStr">
        <is>
          <t>T6 Inscription</t>
        </is>
      </c>
      <c r="D132" s="8" t="n">
        <v>2018</v>
      </c>
      <c r="E132" s="10" t="n">
        <v>26190</v>
      </c>
      <c r="F132" s="10" t="n"/>
      <c r="G132" s="9" t="inlineStr">
        <is>
          <t>XC90 MSRP not pulled</t>
        </is>
      </c>
      <c r="H132" s="16" t="n">
        <v>84845</v>
      </c>
      <c r="I132" s="8" t="n"/>
      <c r="J132" s="9" t="inlineStr">
        <is>
          <t>Clutch.ca - no doc/admin fees / 7 seats / premium trim / pano</t>
        </is>
      </c>
      <c r="K132" s="8" t="inlineStr">
        <is>
          <t>Clutch.ca</t>
        </is>
      </c>
      <c r="L132" s="18">
        <f>HYPERLINK("https://www.clutch.ca/vehicles/122735","open")</f>
        <v/>
      </c>
      <c r="M132" s="8" t="inlineStr">
        <is>
          <t>Clutch.ca scan 09-01</t>
        </is>
      </c>
    </row>
    <row r="133">
      <c r="A133" s="8" t="inlineStr">
        <is>
          <t>Volvo</t>
        </is>
      </c>
      <c r="B133" s="8" t="inlineStr">
        <is>
          <t>XC90</t>
        </is>
      </c>
      <c r="C133" s="9" t="inlineStr">
        <is>
          <t>T5 Momentum 7-Seater</t>
        </is>
      </c>
      <c r="D133" s="8" t="n">
        <v>2021</v>
      </c>
      <c r="E133" s="10" t="n">
        <v>30590</v>
      </c>
      <c r="F133" s="10" t="n"/>
      <c r="G133" s="9" t="inlineStr">
        <is>
          <t>XC90 MSRP not pulled</t>
        </is>
      </c>
      <c r="H133" s="16" t="n">
        <v>85572</v>
      </c>
      <c r="I133" s="8" t="n"/>
      <c r="J133" s="9" t="inlineStr">
        <is>
          <t>Clutch.ca - no doc/admin fees / 7 seats / NOT premium / pano</t>
        </is>
      </c>
      <c r="K133" s="8" t="inlineStr">
        <is>
          <t>Clutch.ca</t>
        </is>
      </c>
      <c r="L133" s="18">
        <f>HYPERLINK("https://www.clutch.ca/vehicles/118204","open")</f>
        <v/>
      </c>
      <c r="M133" s="8" t="inlineStr">
        <is>
          <t>Clutch.ca scan 09-01</t>
        </is>
      </c>
    </row>
    <row r="134">
      <c r="A134" s="8" t="inlineStr">
        <is>
          <t>Volvo</t>
        </is>
      </c>
      <c r="B134" s="8" t="inlineStr">
        <is>
          <t>XC90</t>
        </is>
      </c>
      <c r="C134" s="9" t="inlineStr">
        <is>
          <t>T6 Momentum 6-Seater</t>
        </is>
      </c>
      <c r="D134" s="8" t="n">
        <v>2021</v>
      </c>
      <c r="E134" s="10" t="n">
        <v>34690</v>
      </c>
      <c r="F134" s="10" t="n"/>
      <c r="G134" s="9" t="inlineStr">
        <is>
          <t>XC90 MSRP not pulled</t>
        </is>
      </c>
      <c r="H134" s="16" t="n">
        <v>88293</v>
      </c>
      <c r="I134" s="8" t="n"/>
      <c r="J134" s="9" t="inlineStr">
        <is>
          <t>Clutch.ca - no doc/admin fees / 6 seats / NOT premium / pano</t>
        </is>
      </c>
      <c r="K134" s="8" t="inlineStr">
        <is>
          <t>Clutch.ca</t>
        </is>
      </c>
      <c r="L134" s="18">
        <f>HYPERLINK("https://www.clutch.ca/vehicles/120829","open")</f>
        <v/>
      </c>
      <c r="M134" s="8" t="inlineStr">
        <is>
          <t>Clutch.ca scan 09-01</t>
        </is>
      </c>
    </row>
    <row r="135">
      <c r="A135" s="8" t="inlineStr">
        <is>
          <t>Volvo</t>
        </is>
      </c>
      <c r="B135" s="8" t="inlineStr">
        <is>
          <t>XC90</t>
        </is>
      </c>
      <c r="C135" s="9" t="inlineStr">
        <is>
          <t>T6 Inscription 7-Seater</t>
        </is>
      </c>
      <c r="D135" s="8" t="n">
        <v>2022</v>
      </c>
      <c r="E135" s="10" t="n">
        <v>45390</v>
      </c>
      <c r="F135" s="10" t="n"/>
      <c r="G135" s="9" t="inlineStr">
        <is>
          <t>XC90 MSRP not pulled</t>
        </is>
      </c>
      <c r="H135" s="16" t="n">
        <v>55665</v>
      </c>
      <c r="I135" s="8" t="n"/>
      <c r="J135" s="9" t="inlineStr">
        <is>
          <t>Clutch.ca - no doc/admin fees / 7 seats / premium trim / pano</t>
        </is>
      </c>
      <c r="K135" s="8" t="inlineStr">
        <is>
          <t>Clutch.ca</t>
        </is>
      </c>
      <c r="L135" s="18">
        <f>HYPERLINK("https://www.clutch.ca/vehicles/111329","open")</f>
        <v/>
      </c>
      <c r="M135" s="8" t="inlineStr">
        <is>
          <t>Clutch.ca scan 09-01</t>
        </is>
      </c>
    </row>
    <row r="136">
      <c r="A136" s="8" t="inlineStr">
        <is>
          <t>Volvo</t>
        </is>
      </c>
      <c r="B136" s="8" t="inlineStr">
        <is>
          <t>XC90</t>
        </is>
      </c>
      <c r="C136" s="9" t="inlineStr">
        <is>
          <t>B6 Ultra Bright Theme 7-Seater</t>
        </is>
      </c>
      <c r="D136" s="8" t="n">
        <v>2025</v>
      </c>
      <c r="E136" s="10" t="n">
        <v>69990</v>
      </c>
      <c r="F136" s="10" t="n"/>
      <c r="G136" s="9" t="inlineStr">
        <is>
          <t>XC90 MSRP not pulled</t>
        </is>
      </c>
      <c r="H136" s="16" t="n">
        <v>22000</v>
      </c>
      <c r="I136" s="8" t="n"/>
      <c r="J136" s="9" t="inlineStr">
        <is>
          <t>Clutch.ca - no doc/admin fees / 7 seats / premium trim / pano</t>
        </is>
      </c>
      <c r="K136" s="8" t="inlineStr">
        <is>
          <t>Clutch.ca</t>
        </is>
      </c>
      <c r="L136" s="18">
        <f>HYPERLINK("https://www.clutch.ca/vehicles/123896","open")</f>
        <v/>
      </c>
      <c r="M136" s="8" t="inlineStr">
        <is>
          <t>Clutch.ca scan 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9" t="inlineStr">
        <is>
          <t>Topic</t>
        </is>
      </c>
      <c r="B1" s="19" t="inlineStr">
        <is>
          <t>Detail</t>
        </is>
      </c>
    </row>
    <row r="2">
      <c r="A2" s="9" t="inlineStr">
        <is>
          <t>What Table 1 is</t>
        </is>
      </c>
      <c r="B2" s="9" t="inlineStr">
        <is>
          <t>One row per model/trim we scouted. MSRP is the manufacturer sticker ex-freight; Advertised is the number a dealer actually prints; OUT THE DOOR adds fees + 13% HST + plates.</t>
        </is>
      </c>
    </row>
    <row r="3">
      <c r="A3" s="9" t="inlineStr">
        <is>
          <t>How to read Rate source</t>
        </is>
      </c>
      <c r="B3" s="9" t="inlineStr">
        <is>
          <t>GREEN = a rate that was quoted to you or published by the dealer/manufacturer. PINK = assumed. Where nothing was obtained I used 6.99% so the payment column is filled - treat those payments as placeholders and get a real quote.</t>
        </is>
      </c>
    </row>
    <row r="4">
      <c r="A4" s="9" t="inlineStr">
        <is>
          <t>The monthly payment</t>
        </is>
      </c>
      <c r="B4" s="9" t="inlineStr">
        <is>
          <t>-PMT(rate/12, term, OTD - down). Change B5 (down) or B6 (term) and every Monthly cell recalculates. Default $15,000 down / 60 months.</t>
        </is>
      </c>
    </row>
    <row r="5">
      <c r="A5" s="9" t="inlineStr">
        <is>
          <t>Lexus rates are the real ones</t>
        </is>
      </c>
      <c r="B5" s="9" t="inlineStr">
        <is>
          <t>2.9%/60 finance and 1.9%/48 lease were written on Lexus on the Park worksheets on 2026-09-02 as 'special rate'. The 5.5% on the 500h is Don Valley North's published rate.</t>
        </is>
      </c>
    </row>
    <row r="6">
      <c r="A6" s="9" t="inlineStr">
        <is>
          <t>The freight-twice catch</t>
        </is>
      </c>
      <c r="B6" s="9" t="inlineStr">
        <is>
          <t>Lexus on the Park's finance sheet used $73,258 as the sell price - that is Lexus Canada's 'from' price, which already includes freight - then added $870 freight again plus $2,334 dealer fees. Their $86,611 OTD is about $2.7K above the model here. Worth asking about.</t>
        </is>
      </c>
    </row>
    <row r="7">
      <c r="A7" s="9" t="inlineStr">
        <is>
          <t>What Table 2 is</t>
        </is>
      </c>
      <c r="B7" s="9" t="inlineStr">
        <is>
          <t>Every live listing from this week's scans (Sept 1-2), one row each, with its own link. Older scans (the early CR-V / RAV4 / Grand Highlander gas sweep) are NOT included because some of those cars have since sold.</t>
        </is>
      </c>
    </row>
    <row r="8">
      <c r="A8" s="9" t="inlineStr">
        <is>
          <t>MSRP on used cars</t>
        </is>
      </c>
      <c r="B8" s="9" t="inlineStr">
        <is>
          <t>Where the exact original sticker is not on the listing, the MSRP column shows the same-trim sticker (2021 launch pricing for Genesis and Palisade, current-MY equivalent for Lexus) and the source column says which. 'Asking vs MSRP' is negative when the car is below sticker.</t>
        </is>
      </c>
    </row>
    <row r="9">
      <c r="A9" s="9" t="inlineStr">
        <is>
          <t>Your standing inputs</t>
        </is>
      </c>
      <c r="B9" s="9" t="inlineStr">
        <is>
          <t>29,400 km/yr (120 km x 245 weekdays). Lexus basic warranty 4yr/80,000km, Certified 6yr/120,000km; Genesis and Hyundai 5yr/100,000km; Mitsubishi 10yr/160,000km powertrain. At your mileage the km cap always binds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2026-09-03T14:51:22Z</dcterms:created>
  <dcterms:modified xmlns:dcterms="http://purl.org/dc/terms/" xmlns:xsi="http://www.w3.org/2001/XMLSchema-instance" xsi:type="dcterms:W3CDTF">2026-09-03T14:51:22Z</dcterms:modified>
</cp:coreProperties>
</file>